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&quot;$&quot;#,##0.00"/>
    <numFmt numFmtId="168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168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Year 1 and Year 2 utilisation targets</t>
        </is>
      </c>
    </row>
    <row r="10" ht="15" customHeight="1">
      <c r="A10" s="2" t="inlineStr">
        <is>
          <t>• Model sheet:      All formulas. Do NOT edit directly. Reads from Cities + Country.</t>
        </is>
      </c>
    </row>
    <row r="11" ht="8" customHeight="1">
      <c r="A11" s="2" t="inlineStr"/>
    </row>
    <row r="12" ht="18" customHeight="1">
      <c r="A12" s="3" t="inlineStr">
        <is>
          <t>⚙️ KEY FORMULAS</t>
        </is>
      </c>
    </row>
    <row r="13" ht="8" customHeight="1">
      <c r="A13" s="2" t="inlineStr"/>
    </row>
    <row r="14" ht="15" customHeight="1">
      <c r="A14" s="2" t="inlineStr">
        <is>
          <t xml:space="preserve">  Stations         = IF(sqft ≤ 750 → 3, sqft ≤ 850 → 4, else 5)</t>
        </is>
      </c>
    </row>
    <row r="15" ht="15" customHeight="1">
      <c r="A15" s="2" t="inlineStr">
        <is>
          <t xml:space="preserve">  Max Capacity     = stations × sessions/day × working_days/month</t>
        </is>
      </c>
    </row>
    <row r="16" ht="15" customHeight="1">
      <c r="A16" s="2" t="inlineStr">
        <is>
          <t xml:space="preserve">  Y2 Clients       = INT(max_capacity × util_Y2)</t>
        </is>
      </c>
    </row>
    <row r="17" ht="15" customHeight="1">
      <c r="A17" s="2" t="inlineStr">
        <is>
          <t xml:space="preserve">  Staff Cost       = seniors×senior_rate + juniors×junior_rate + assistants×asst_rate + manager_rate</t>
        </is>
      </c>
    </row>
    <row r="18" ht="15" customHeight="1">
      <c r="A18" s="2" t="inlineStr">
        <is>
          <t xml:space="preserve">  Total OPEX       = Rent + Staff_Cost + Utilities(200+stations×80) + Mktg+Misc(650+stations×80)</t>
        </is>
      </c>
    </row>
    <row r="19" ht="15" customHeight="1">
      <c r="A19" s="2" t="inlineStr">
        <is>
          <t xml:space="preserve">  Breakeven        = CEILING(OPEX / (ticket × (1 − COGS%)), 1)</t>
        </is>
      </c>
    </row>
    <row r="20" ht="15" customHeight="1">
      <c r="A20" s="2" t="inlineStr">
        <is>
          <t xml:space="preserve">  CAPEX Low        = FLOOR((fitout+equip+other+rent×dep_months) × 0.92, $5,000)</t>
        </is>
      </c>
    </row>
    <row r="21" ht="15" customHeight="1">
      <c r="A21" s="2" t="inlineStr">
        <is>
          <t xml:space="preserve">  CAPEX High       = CEILING((fitout+equip+other+rent×dep_months) × 1.08, $5,000)</t>
        </is>
      </c>
    </row>
    <row r="22" ht="15" customHeight="1">
      <c r="A22" s="2" t="inlineStr">
        <is>
          <t xml:space="preserve">  Y2 Monthly PAT   = (Y2_clients × ticket × (1−COGS%) − OPEX) × (1 − tax_rate)</t>
        </is>
      </c>
    </row>
    <row r="23" ht="15" customHeight="1">
      <c r="A23" s="2" t="inlineStr">
        <is>
          <t xml:space="preserve">  Payback          = CEILING(CAPEX_mid / Y2_PAT, 1 month)</t>
        </is>
      </c>
    </row>
    <row r="24" ht="15" customHeight="1">
      <c r="A24" s="2" t="inlineStr">
        <is>
          <t xml:space="preserve">  PAT/OPEX         = Y2_PAT / OPEX</t>
        </is>
      </c>
    </row>
    <row r="25" ht="15" customHeight="1">
      <c r="A25" s="2" t="inlineStr">
        <is>
          <t xml:space="preserve">  Viable?          = YES if Breakeven &lt; 80% of Max Capacity</t>
        </is>
      </c>
    </row>
    <row r="26" ht="8" customHeight="1">
      <c r="A26" s="2" t="inlineStr"/>
    </row>
    <row r="27" ht="18" customHeight="1">
      <c r="A27" s="3" t="inlineStr">
        <is>
          <t>🔄 UPDATE WORKFLOW</t>
        </is>
      </c>
    </row>
    <row r="28" ht="8" customHeight="1">
      <c r="A28" s="2" t="inlineStr"/>
    </row>
    <row r="29" ht="15" customHeight="1">
      <c r="A29" s="2" t="inlineStr">
        <is>
          <t xml:space="preserve">  1. Edit values in Country or Cities sheet (yellow cells).</t>
        </is>
      </c>
    </row>
    <row r="30" ht="15" customHeight="1">
      <c r="A30" s="2" t="inlineStr">
        <is>
          <t xml:space="preserve">  2. Review the Model sheet to check that all formulas recalculate correctly.</t>
        </is>
      </c>
    </row>
    <row r="31" ht="15" customHeight="1">
      <c r="A31" s="2" t="inlineStr">
        <is>
          <t xml:space="preserve">  3. Save the Excel file.</t>
        </is>
      </c>
    </row>
    <row r="32" ht="15" customHeight="1">
      <c r="A32" s="2" t="inlineStr">
        <is>
          <t xml:space="preserve">  4. Open a terminal and run:</t>
        </is>
      </c>
    </row>
    <row r="33" ht="14" customHeight="1">
      <c r="A33" s="5" t="inlineStr">
        <is>
          <t xml:space="preserve">       cd c:\Users\vince\Projects\HairSpa\Oasis_Salon_Web</t>
        </is>
      </c>
    </row>
    <row r="34" ht="14" customHeight="1">
      <c r="A34" s="5" t="inlineStr">
        <is>
          <t xml:space="preserve">       python excel_to_json.py</t>
        </is>
      </c>
    </row>
    <row r="35" ht="15" customHeight="1">
      <c r="A35" s="2" t="inlineStr">
        <is>
          <t xml:space="preserve">  5. This regenerates city_data.json AND updates the citiesDb in script.js.</t>
        </is>
      </c>
    </row>
    <row r="36" ht="15" customHeight="1">
      <c r="A36" s="2" t="inlineStr">
        <is>
          <t xml:space="preserve">  6. Commit and push:</t>
        </is>
      </c>
    </row>
    <row r="37" ht="14" customHeight="1">
      <c r="A37" s="5" t="inlineStr">
        <is>
          <t xml:space="preserve">       git add -A &amp;&amp; git commit -m "Update financials" &amp;&amp; git push</t>
        </is>
      </c>
    </row>
    <row r="38" ht="8" customHeight="1">
      <c r="A38" s="2" t="inlineStr"/>
    </row>
    <row r="39" ht="18" customHeight="1">
      <c r="A39" s="3" t="inlineStr">
        <is>
          <t>📌 NOTES</t>
        </is>
      </c>
    </row>
    <row r="40" ht="8" customHeight="1">
      <c r="A40" s="2" t="inlineStr"/>
    </row>
    <row r="41" ht="15" customHeight="1">
      <c r="A41" s="2" t="inlineStr">
        <is>
          <t xml:space="preserve">  • Taipei vs Taichung CAPEX: Taipei (USD 75-95k) &gt; Taichung (USD 65-80k) because</t>
        </is>
      </c>
    </row>
    <row r="42" ht="14" customHeight="1">
      <c r="A42" s="4" t="inlineStr">
        <is>
          <t xml:space="preserve">    Taipei has: higher rent ($2,200 vs $1,800) + higher Da'an district fitout (NTD 1.8M vs 1.5M) + 850 sqft vs 800 sqft.</t>
        </is>
      </c>
    </row>
    <row r="43" ht="15" customHeight="1">
      <c r="A43" s="2" t="inlineStr">
        <is>
          <t xml:space="preserve">  • Fukuoka uses 22 working days/month (Japanese boutique: closed Mon + limited Sun).</t>
        </is>
      </c>
    </row>
    <row r="44" ht="15" customHeight="1">
      <c r="A44" s="2" t="inlineStr">
        <is>
          <t xml:space="preserve">  • Dubai uses 12 deposit months (UAE annual lease pre-payment norm).</t>
        </is>
      </c>
    </row>
    <row r="45" ht="15" customHeight="1">
      <c r="A45" s="2" t="inlineStr">
        <is>
          <t xml:space="preserve">  • All staff rates are in USD/month at mid-2025 exchange rates.</t>
        </is>
      </c>
    </row>
    <row r="46" ht="15" customHeight="1">
      <c r="A46" s="2" t="inlineStr">
        <is>
          <t xml:space="preserve">  • Latitude/Longitude (Cities!Q/R): Used by the Leaflet map on the dashboard. Enter decimal degrees. Negative = South/West.</t>
        </is>
      </c>
    </row>
    <row r="47" ht="15" customHeight="1">
      <c r="A47" s="2" t="inlineStr">
        <is>
          <t xml:space="preserve">  • Underserved Gap % (Cities!S): Estimated % of premium-capable residents without a nearby premium salon. Drives map marker radius.</t>
        </is>
      </c>
    </row>
    <row r="48" ht="15" customHeight="1">
      <c r="A48" s="2" t="inlineStr">
        <is>
          <t xml:space="preserve">  • Payback period is calculated at Year 2 (75%) utilisation.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0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B3" s="29" t="n"/>
      <c r="C3" s="29" t="n"/>
      <c r="D3" s="30" t="n"/>
      <c r="E3" s="14" t="inlineStr">
        <is>
          <t>SPACE &amp; TIME</t>
        </is>
      </c>
      <c r="F3" s="29" t="n"/>
      <c r="G3" s="30" t="n"/>
      <c r="H3" s="14" t="inlineStr">
        <is>
          <t>PRICING</t>
        </is>
      </c>
      <c r="I3" s="30" t="n"/>
      <c r="J3" s="14" t="inlineStr">
        <is>
          <t>COSTS &amp; CAPEX</t>
        </is>
      </c>
      <c r="K3" s="29" t="n"/>
      <c r="L3" s="29" t="n"/>
      <c r="M3" s="29" t="n"/>
      <c r="N3" s="30" t="n"/>
      <c r="O3" s="14" t="inlineStr">
        <is>
          <t>UTILISATION</t>
        </is>
      </c>
      <c r="P3" s="30" t="n"/>
      <c r="Q3" s="14" t="inlineStr">
        <is>
          <t>GEOGRAPHY</t>
        </is>
      </c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(%)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31" t="n">
        <v>10.776</v>
      </c>
      <c r="R5" s="31" t="n">
        <v>106.701</v>
      </c>
      <c r="S5" s="19" t="n">
        <v>65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31" t="n">
        <v>21.028</v>
      </c>
      <c r="R6" s="31" t="n">
        <v>105.852</v>
      </c>
      <c r="S6" s="19" t="n">
        <v>55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31" t="n">
        <v>16.068</v>
      </c>
      <c r="R7" s="31" t="n">
        <v>108.212</v>
      </c>
      <c r="S7" s="19" t="n">
        <v>70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31" t="n">
        <v>20.865</v>
      </c>
      <c r="R8" s="31" t="n">
        <v>106.683</v>
      </c>
      <c r="S8" s="19" t="n">
        <v>72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31" t="n">
        <v>10.98</v>
      </c>
      <c r="R9" s="31" t="n">
        <v>106.653</v>
      </c>
      <c r="S9" s="19" t="n">
        <v>75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31" t="n">
        <v>10.945</v>
      </c>
      <c r="R10" s="31" t="n">
        <v>106.824</v>
      </c>
      <c r="S10" s="19" t="n">
        <v>73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2000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31" t="n">
        <v>3.148</v>
      </c>
      <c r="R11" s="31" t="n">
        <v>101.686</v>
      </c>
      <c r="S11" s="19" t="n">
        <v>40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31" t="n">
        <v>1.492</v>
      </c>
      <c r="R12" s="31" t="n">
        <v>103.743</v>
      </c>
      <c r="S12" s="19" t="n">
        <v>55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31" t="n">
        <v>5.414</v>
      </c>
      <c r="R13" s="31" t="n">
        <v>100.33</v>
      </c>
      <c r="S13" s="19" t="n">
        <v>50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31" t="n">
        <v>5.978</v>
      </c>
      <c r="R14" s="31" t="n">
        <v>116.073</v>
      </c>
      <c r="S14" s="19" t="n">
        <v>68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31" t="n">
        <v>1.553</v>
      </c>
      <c r="R15" s="31" t="n">
        <v>110.36</v>
      </c>
      <c r="S15" s="19" t="n">
        <v>65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31" t="n">
        <v>1.283</v>
      </c>
      <c r="R16" s="31" t="n">
        <v>103.85</v>
      </c>
      <c r="S16" s="19" t="n">
        <v>25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31" t="n">
        <v>22.279</v>
      </c>
      <c r="R17" s="31" t="n">
        <v>114.165</v>
      </c>
      <c r="S17" s="19" t="n">
        <v>22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31" t="n">
        <v>13.745</v>
      </c>
      <c r="R18" s="31" t="n">
        <v>100.532</v>
      </c>
      <c r="S18" s="19" t="n">
        <v>45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31" t="n">
        <v>22.197</v>
      </c>
      <c r="R19" s="31" t="n">
        <v>113.545</v>
      </c>
      <c r="S19" s="19" t="n">
        <v>38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31" t="n">
        <v>25.187</v>
      </c>
      <c r="R20" s="31" t="n">
        <v>55.274</v>
      </c>
      <c r="S20" s="19" t="n">
        <v>30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2200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31" t="n">
        <v>25.033</v>
      </c>
      <c r="R21" s="31" t="n">
        <v>121.565</v>
      </c>
      <c r="S21" s="19" t="n">
        <v>35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1800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31" t="n">
        <v>24.163</v>
      </c>
      <c r="R22" s="31" t="n">
        <v>120.647</v>
      </c>
      <c r="S22" s="19" t="n">
        <v>42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1200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31" t="n">
        <v>22.627</v>
      </c>
      <c r="R23" s="31" t="n">
        <v>120.302</v>
      </c>
      <c r="S23" s="19" t="n">
        <v>48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900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31" t="n">
        <v>22.993</v>
      </c>
      <c r="R24" s="31" t="n">
        <v>120.202</v>
      </c>
      <c r="S24" s="19" t="n">
        <v>55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31" t="n">
        <v>33.589</v>
      </c>
      <c r="R25" s="31" t="n">
        <v>130.398</v>
      </c>
      <c r="S25" s="19" t="n">
        <v>38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26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31" t="n">
        <v>26.213</v>
      </c>
      <c r="R26" s="31" t="n">
        <v>127.679</v>
      </c>
      <c r="S26" s="19" t="n">
        <v>52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31" t="n">
        <v>35.158</v>
      </c>
      <c r="R27" s="31" t="n">
        <v>129.06</v>
      </c>
      <c r="S27" s="19" t="n">
        <v>45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31" t="n">
        <v>-33.869</v>
      </c>
      <c r="R28" s="31" t="n">
        <v>151.207</v>
      </c>
      <c r="S28" s="19" t="n">
        <v>30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31" t="n">
        <v>-37.814</v>
      </c>
      <c r="R29" s="31" t="n">
        <v>144.963</v>
      </c>
      <c r="S29" s="19" t="n">
        <v>32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31" t="n">
        <v>-27.47</v>
      </c>
      <c r="R30" s="31" t="n">
        <v>153.026</v>
      </c>
      <c r="S30" s="19" t="n">
        <v>36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31" t="n">
        <v>-31.953</v>
      </c>
      <c r="R31" s="31" t="n">
        <v>115.857</v>
      </c>
      <c r="S31" s="19" t="n">
        <v>38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mergeCells count="8">
    <mergeCell ref="O3:P3"/>
    <mergeCell ref="J3:N3"/>
    <mergeCell ref="A1:P1"/>
    <mergeCell ref="A2:P2"/>
    <mergeCell ref="Q3:S3"/>
    <mergeCell ref="A3:D3"/>
    <mergeCell ref="E3:G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1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10" customWidth="1" min="8" max="8"/>
    <col width="9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14" customWidth="1" min="18" max="18"/>
    <col width="11" customWidth="1" min="19" max="19"/>
    <col width="11" customWidth="1" min="20" max="20"/>
    <col width="11" customWidth="1" min="21" max="21"/>
    <col width="13" customWidth="1" min="22" max="22"/>
    <col width="13" customWidth="1" min="23" max="23"/>
    <col width="13" customWidth="1" min="24" max="24"/>
    <col width="14" customWidth="1" min="25" max="25"/>
    <col width="12" customWidth="1" min="26" max="26"/>
    <col width="12" customWidth="1" min="27" max="27"/>
    <col width="12" customWidth="1" min="28" max="28"/>
    <col width="12" customWidth="1" min="29" max="29"/>
    <col width="13" customWidth="1" min="30" max="30"/>
    <col width="12" customWidth="1" min="31" max="31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2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B3" s="30" t="n"/>
      <c r="C3" s="14" t="inlineStr">
        <is>
          <t>SPACE → STAFF</t>
        </is>
      </c>
      <c r="D3" s="29" t="n"/>
      <c r="E3" s="29" t="n"/>
      <c r="F3" s="29" t="n"/>
      <c r="G3" s="29" t="n"/>
      <c r="H3" s="30" t="n"/>
      <c r="I3" s="14" t="inlineStr">
        <is>
          <t>COUNTRY RATES</t>
        </is>
      </c>
      <c r="J3" s="29" t="n"/>
      <c r="K3" s="29" t="n"/>
      <c r="L3" s="29" t="n"/>
      <c r="M3" s="30" t="n"/>
      <c r="N3" s="14" t="inlineStr">
        <is>
          <t>STAFF COST</t>
        </is>
      </c>
      <c r="O3" s="14" t="inlineStr">
        <is>
          <t>MONTHLY OPEX</t>
        </is>
      </c>
      <c r="P3" s="29" t="n"/>
      <c r="Q3" s="29" t="n"/>
      <c r="R3" s="30" t="n"/>
      <c r="S3" s="14" t="inlineStr">
        <is>
          <t>CAPACITY</t>
        </is>
      </c>
      <c r="T3" s="29" t="n"/>
      <c r="U3" s="30" t="n"/>
      <c r="V3" s="14" t="inlineStr">
        <is>
          <t>UNIT ECONOMICS</t>
        </is>
      </c>
      <c r="W3" s="29" t="n"/>
      <c r="X3" s="29" t="n"/>
      <c r="Y3" s="30" t="n"/>
      <c r="Z3" s="14" t="inlineStr">
        <is>
          <t>CAPEX &amp; PAYBACK</t>
        </is>
      </c>
      <c r="AA3" s="29" t="n"/>
      <c r="AB3" s="29" t="n"/>
      <c r="AC3" s="29" t="n"/>
      <c r="AD3" s="30" t="n"/>
      <c r="AE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Wash
Basins</t>
        </is>
      </c>
      <c r="E4" s="8" t="inlineStr">
        <is>
          <t>Seniors</t>
        </is>
      </c>
      <c r="F4" s="8" t="inlineStr">
        <is>
          <t>Juniors</t>
        </is>
      </c>
      <c r="G4" s="8" t="inlineStr">
        <is>
          <t>Assistants</t>
        </is>
      </c>
      <c r="H4" s="8" t="inlineStr">
        <is>
          <t>Total
Staff</t>
        </is>
      </c>
      <c r="I4" s="8" t="inlineStr">
        <is>
          <t>Tax Rate</t>
        </is>
      </c>
      <c r="J4" s="8" t="inlineStr">
        <is>
          <t>Senior
(USD/mo)</t>
        </is>
      </c>
      <c r="K4" s="8" t="inlineStr">
        <is>
          <t>Junior
(USD/mo)</t>
        </is>
      </c>
      <c r="L4" s="8" t="inlineStr">
        <is>
          <t>Assistant
(USD/mo)</t>
        </is>
      </c>
      <c r="M4" s="8" t="inlineStr">
        <is>
          <t>Manager
(USD/mo)</t>
        </is>
      </c>
      <c r="N4" s="8" t="inlineStr">
        <is>
          <t>Total Staff
Cost (USD/mo)</t>
        </is>
      </c>
      <c r="O4" s="8" t="inlineStr">
        <is>
          <t>Rent
(USD/mo)</t>
        </is>
      </c>
      <c r="P4" s="8" t="inlineStr">
        <is>
          <t>Utilities
(USD/mo)</t>
        </is>
      </c>
      <c r="Q4" s="8" t="inlineStr">
        <is>
          <t>Mktg+Misc
(USD/mo)</t>
        </is>
      </c>
      <c r="R4" s="8" t="inlineStr">
        <is>
          <t>Total OPEX
(USD/mo)</t>
        </is>
      </c>
      <c r="S4" s="8" t="inlineStr">
        <is>
          <t>Max
Capacity</t>
        </is>
      </c>
      <c r="T4" s="8" t="inlineStr">
        <is>
          <t>Y1 Clients
(65%)</t>
        </is>
      </c>
      <c r="U4" s="8" t="inlineStr">
        <is>
          <t>Y2 Clients
(75%)</t>
        </is>
      </c>
      <c r="V4" s="8" t="inlineStr">
        <is>
          <t>Breakeven
(clients/mo)</t>
        </is>
      </c>
      <c r="W4" s="8" t="inlineStr">
        <is>
          <t>COGS/session</t>
        </is>
      </c>
      <c r="X4" s="8" t="inlineStr">
        <is>
          <t>GM/session
(90%)</t>
        </is>
      </c>
      <c r="Y4" s="8" t="inlineStr">
        <is>
          <t>Y2 Monthly
PAT (USD)</t>
        </is>
      </c>
      <c r="Z4" s="8" t="inlineStr">
        <is>
          <t>CAPEX Low</t>
        </is>
      </c>
      <c r="AA4" s="8" t="inlineStr">
        <is>
          <t>CAPEX High</t>
        </is>
      </c>
      <c r="AB4" s="8" t="inlineStr">
        <is>
          <t>CAPEX Mid</t>
        </is>
      </c>
      <c r="AC4" s="8" t="inlineStr">
        <is>
          <t>Payback
(months)</t>
        </is>
      </c>
      <c r="AD4" s="8" t="inlineStr">
        <is>
          <t>PAT/OPEX
(%)</t>
        </is>
      </c>
      <c r="AE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3">
        <f>IF(Cities!E5&lt;=750,3,IF(Cities!E5&lt;=850,4,5))</f>
        <v/>
      </c>
      <c r="D5" s="23">
        <f>IF(C5&lt;=4,2,3)</f>
        <v/>
      </c>
      <c r="E5" s="23">
        <f>IF(C5&lt;=4,2,3)</f>
        <v/>
      </c>
      <c r="F5" s="23">
        <f>C5-E5</f>
        <v/>
      </c>
      <c r="G5" s="23">
        <f>CEILING(C5/2,1)</f>
        <v/>
      </c>
      <c r="H5" s="23">
        <f>E5+F5+G5+1</f>
        <v/>
      </c>
      <c r="I5" s="24">
        <f>VLOOKUP(Cities!D5,Country!$A$4:$H$14,3,FALSE)</f>
        <v/>
      </c>
      <c r="J5" s="25">
        <f>VLOOKUP(Cities!D5,Country!$A$4:$H$14,5,FALSE)</f>
        <v/>
      </c>
      <c r="K5" s="25">
        <f>VLOOKUP(Cities!D5,Country!$A$4:$H$14,6,FALSE)</f>
        <v/>
      </c>
      <c r="L5" s="25">
        <f>VLOOKUP(Cities!D5,Country!$A$4:$H$14,7,FALSE)</f>
        <v/>
      </c>
      <c r="M5" s="25">
        <f>VLOOKUP(Cities!D5,Country!$A$4:$H$14,8,FALSE)</f>
        <v/>
      </c>
      <c r="N5" s="25">
        <f>E5*J5+F5*K5+G5*L5+M5</f>
        <v/>
      </c>
      <c r="O5" s="25">
        <f>Cities!J5</f>
        <v/>
      </c>
      <c r="P5" s="25">
        <f>200+C5*80</f>
        <v/>
      </c>
      <c r="Q5" s="25">
        <f>350+C5*50+300+C5*30</f>
        <v/>
      </c>
      <c r="R5" s="25">
        <f>O5+N5+P5+Q5</f>
        <v/>
      </c>
      <c r="S5" s="23">
        <f>C5*Cities!F5*Cities!G5</f>
        <v/>
      </c>
      <c r="T5" s="23">
        <f>INT(S5*Cities!O5)</f>
        <v/>
      </c>
      <c r="U5" s="23">
        <f>INT(S5*Cities!P5)</f>
        <v/>
      </c>
      <c r="V5" s="23">
        <f>CEILING(R5/(Cities!H5*(1-Cities!I5)),1)</f>
        <v/>
      </c>
      <c r="W5" s="26">
        <f>Cities!H5*Cities!I5</f>
        <v/>
      </c>
      <c r="X5" s="26">
        <f>Cities!H5-W5</f>
        <v/>
      </c>
      <c r="Y5" s="25">
        <f>(U5*Cities!H5*(1-Cities!I5)-R5)*(1-I5)</f>
        <v/>
      </c>
      <c r="Z5" s="25">
        <f>FLOOR((Cities!K5+Cities!L5+Cities!M5+Cities!J5*Cities!N5)*0.92,5000)</f>
        <v/>
      </c>
      <c r="AA5" s="25">
        <f>CEILING((Cities!K5+Cities!L5+Cities!M5+Cities!J5*Cities!N5)*1.08,5000)</f>
        <v/>
      </c>
      <c r="AB5" s="25">
        <f>(Z5+AA5)/2</f>
        <v/>
      </c>
      <c r="AC5" s="23">
        <f>IF(Y5&gt;0,CEILING(AB5/Y5,1),999)</f>
        <v/>
      </c>
      <c r="AD5" s="27">
        <f>IF(R5&gt;0,Y5/R5,0)</f>
        <v/>
      </c>
      <c r="AE5" s="28">
        <f>IF(V5&lt;S5*0.8,"✓ YES","⚠ TIGHT")</f>
        <v/>
      </c>
    </row>
    <row r="6">
      <c r="A6" s="15">
        <f>Cities!A6</f>
        <v/>
      </c>
      <c r="B6" s="9">
        <f>Cities!D6</f>
        <v/>
      </c>
      <c r="C6" s="23">
        <f>IF(Cities!E6&lt;=750,3,IF(Cities!E6&lt;=850,4,5))</f>
        <v/>
      </c>
      <c r="D6" s="23">
        <f>IF(C6&lt;=4,2,3)</f>
        <v/>
      </c>
      <c r="E6" s="23">
        <f>IF(C6&lt;=4,2,3)</f>
        <v/>
      </c>
      <c r="F6" s="23">
        <f>C6-E6</f>
        <v/>
      </c>
      <c r="G6" s="23">
        <f>CEILING(C6/2,1)</f>
        <v/>
      </c>
      <c r="H6" s="23">
        <f>E6+F6+G6+1</f>
        <v/>
      </c>
      <c r="I6" s="24">
        <f>VLOOKUP(Cities!D6,Country!$A$4:$H$14,3,FALSE)</f>
        <v/>
      </c>
      <c r="J6" s="25">
        <f>VLOOKUP(Cities!D6,Country!$A$4:$H$14,5,FALSE)</f>
        <v/>
      </c>
      <c r="K6" s="25">
        <f>VLOOKUP(Cities!D6,Country!$A$4:$H$14,6,FALSE)</f>
        <v/>
      </c>
      <c r="L6" s="25">
        <f>VLOOKUP(Cities!D6,Country!$A$4:$H$14,7,FALSE)</f>
        <v/>
      </c>
      <c r="M6" s="25">
        <f>VLOOKUP(Cities!D6,Country!$A$4:$H$14,8,FALSE)</f>
        <v/>
      </c>
      <c r="N6" s="25">
        <f>E6*J6+F6*K6+G6*L6+M6</f>
        <v/>
      </c>
      <c r="O6" s="25">
        <f>Cities!J6</f>
        <v/>
      </c>
      <c r="P6" s="25">
        <f>200+C6*80</f>
        <v/>
      </c>
      <c r="Q6" s="25">
        <f>350+C6*50+300+C6*30</f>
        <v/>
      </c>
      <c r="R6" s="25">
        <f>O6+N6+P6+Q6</f>
        <v/>
      </c>
      <c r="S6" s="23">
        <f>C6*Cities!F6*Cities!G6</f>
        <v/>
      </c>
      <c r="T6" s="23">
        <f>INT(S6*Cities!O6)</f>
        <v/>
      </c>
      <c r="U6" s="23">
        <f>INT(S6*Cities!P6)</f>
        <v/>
      </c>
      <c r="V6" s="23">
        <f>CEILING(R6/(Cities!H6*(1-Cities!I6)),1)</f>
        <v/>
      </c>
      <c r="W6" s="26">
        <f>Cities!H6*Cities!I6</f>
        <v/>
      </c>
      <c r="X6" s="26">
        <f>Cities!H6-W6</f>
        <v/>
      </c>
      <c r="Y6" s="25">
        <f>(U6*Cities!H6*(1-Cities!I6)-R6)*(1-I6)</f>
        <v/>
      </c>
      <c r="Z6" s="25">
        <f>FLOOR((Cities!K6+Cities!L6+Cities!M6+Cities!J6*Cities!N6)*0.92,5000)</f>
        <v/>
      </c>
      <c r="AA6" s="25">
        <f>CEILING((Cities!K6+Cities!L6+Cities!M6+Cities!J6*Cities!N6)*1.08,5000)</f>
        <v/>
      </c>
      <c r="AB6" s="25">
        <f>(Z6+AA6)/2</f>
        <v/>
      </c>
      <c r="AC6" s="23">
        <f>IF(Y6&gt;0,CEILING(AB6/Y6,1),999)</f>
        <v/>
      </c>
      <c r="AD6" s="27">
        <f>IF(R6&gt;0,Y6/R6,0)</f>
        <v/>
      </c>
      <c r="AE6" s="28">
        <f>IF(V6&lt;S6*0.8,"✓ YES","⚠ TIGHT")</f>
        <v/>
      </c>
    </row>
    <row r="7">
      <c r="A7" s="15">
        <f>Cities!A7</f>
        <v/>
      </c>
      <c r="B7" s="9">
        <f>Cities!D7</f>
        <v/>
      </c>
      <c r="C7" s="23">
        <f>IF(Cities!E7&lt;=750,3,IF(Cities!E7&lt;=850,4,5))</f>
        <v/>
      </c>
      <c r="D7" s="23">
        <f>IF(C7&lt;=4,2,3)</f>
        <v/>
      </c>
      <c r="E7" s="23">
        <f>IF(C7&lt;=4,2,3)</f>
        <v/>
      </c>
      <c r="F7" s="23">
        <f>C7-E7</f>
        <v/>
      </c>
      <c r="G7" s="23">
        <f>CEILING(C7/2,1)</f>
        <v/>
      </c>
      <c r="H7" s="23">
        <f>E7+F7+G7+1</f>
        <v/>
      </c>
      <c r="I7" s="24">
        <f>VLOOKUP(Cities!D7,Country!$A$4:$H$14,3,FALSE)</f>
        <v/>
      </c>
      <c r="J7" s="25">
        <f>VLOOKUP(Cities!D7,Country!$A$4:$H$14,5,FALSE)</f>
        <v/>
      </c>
      <c r="K7" s="25">
        <f>VLOOKUP(Cities!D7,Country!$A$4:$H$14,6,FALSE)</f>
        <v/>
      </c>
      <c r="L7" s="25">
        <f>VLOOKUP(Cities!D7,Country!$A$4:$H$14,7,FALSE)</f>
        <v/>
      </c>
      <c r="M7" s="25">
        <f>VLOOKUP(Cities!D7,Country!$A$4:$H$14,8,FALSE)</f>
        <v/>
      </c>
      <c r="N7" s="25">
        <f>E7*J7+F7*K7+G7*L7+M7</f>
        <v/>
      </c>
      <c r="O7" s="25">
        <f>Cities!J7</f>
        <v/>
      </c>
      <c r="P7" s="25">
        <f>200+C7*80</f>
        <v/>
      </c>
      <c r="Q7" s="25">
        <f>350+C7*50+300+C7*30</f>
        <v/>
      </c>
      <c r="R7" s="25">
        <f>O7+N7+P7+Q7</f>
        <v/>
      </c>
      <c r="S7" s="23">
        <f>C7*Cities!F7*Cities!G7</f>
        <v/>
      </c>
      <c r="T7" s="23">
        <f>INT(S7*Cities!O7)</f>
        <v/>
      </c>
      <c r="U7" s="23">
        <f>INT(S7*Cities!P7)</f>
        <v/>
      </c>
      <c r="V7" s="23">
        <f>CEILING(R7/(Cities!H7*(1-Cities!I7)),1)</f>
        <v/>
      </c>
      <c r="W7" s="26">
        <f>Cities!H7*Cities!I7</f>
        <v/>
      </c>
      <c r="X7" s="26">
        <f>Cities!H7-W7</f>
        <v/>
      </c>
      <c r="Y7" s="25">
        <f>(U7*Cities!H7*(1-Cities!I7)-R7)*(1-I7)</f>
        <v/>
      </c>
      <c r="Z7" s="25">
        <f>FLOOR((Cities!K7+Cities!L7+Cities!M7+Cities!J7*Cities!N7)*0.92,5000)</f>
        <v/>
      </c>
      <c r="AA7" s="25">
        <f>CEILING((Cities!K7+Cities!L7+Cities!M7+Cities!J7*Cities!N7)*1.08,5000)</f>
        <v/>
      </c>
      <c r="AB7" s="25">
        <f>(Z7+AA7)/2</f>
        <v/>
      </c>
      <c r="AC7" s="23">
        <f>IF(Y7&gt;0,CEILING(AB7/Y7,1),999)</f>
        <v/>
      </c>
      <c r="AD7" s="27">
        <f>IF(R7&gt;0,Y7/R7,0)</f>
        <v/>
      </c>
      <c r="AE7" s="28">
        <f>IF(V7&lt;S7*0.8,"✓ YES","⚠ TIGHT")</f>
        <v/>
      </c>
    </row>
    <row r="8">
      <c r="A8" s="15">
        <f>Cities!A8</f>
        <v/>
      </c>
      <c r="B8" s="9">
        <f>Cities!D8</f>
        <v/>
      </c>
      <c r="C8" s="23">
        <f>IF(Cities!E8&lt;=750,3,IF(Cities!E8&lt;=850,4,5))</f>
        <v/>
      </c>
      <c r="D8" s="23">
        <f>IF(C8&lt;=4,2,3)</f>
        <v/>
      </c>
      <c r="E8" s="23">
        <f>IF(C8&lt;=4,2,3)</f>
        <v/>
      </c>
      <c r="F8" s="23">
        <f>C8-E8</f>
        <v/>
      </c>
      <c r="G8" s="23">
        <f>CEILING(C8/2,1)</f>
        <v/>
      </c>
      <c r="H8" s="23">
        <f>E8+F8+G8+1</f>
        <v/>
      </c>
      <c r="I8" s="24">
        <f>VLOOKUP(Cities!D8,Country!$A$4:$H$14,3,FALSE)</f>
        <v/>
      </c>
      <c r="J8" s="25">
        <f>VLOOKUP(Cities!D8,Country!$A$4:$H$14,5,FALSE)</f>
        <v/>
      </c>
      <c r="K8" s="25">
        <f>VLOOKUP(Cities!D8,Country!$A$4:$H$14,6,FALSE)</f>
        <v/>
      </c>
      <c r="L8" s="25">
        <f>VLOOKUP(Cities!D8,Country!$A$4:$H$14,7,FALSE)</f>
        <v/>
      </c>
      <c r="M8" s="25">
        <f>VLOOKUP(Cities!D8,Country!$A$4:$H$14,8,FALSE)</f>
        <v/>
      </c>
      <c r="N8" s="25">
        <f>E8*J8+F8*K8+G8*L8+M8</f>
        <v/>
      </c>
      <c r="O8" s="25">
        <f>Cities!J8</f>
        <v/>
      </c>
      <c r="P8" s="25">
        <f>200+C8*80</f>
        <v/>
      </c>
      <c r="Q8" s="25">
        <f>350+C8*50+300+C8*30</f>
        <v/>
      </c>
      <c r="R8" s="25">
        <f>O8+N8+P8+Q8</f>
        <v/>
      </c>
      <c r="S8" s="23">
        <f>C8*Cities!F8*Cities!G8</f>
        <v/>
      </c>
      <c r="T8" s="23">
        <f>INT(S8*Cities!O8)</f>
        <v/>
      </c>
      <c r="U8" s="23">
        <f>INT(S8*Cities!P8)</f>
        <v/>
      </c>
      <c r="V8" s="23">
        <f>CEILING(R8/(Cities!H8*(1-Cities!I8)),1)</f>
        <v/>
      </c>
      <c r="W8" s="26">
        <f>Cities!H8*Cities!I8</f>
        <v/>
      </c>
      <c r="X8" s="26">
        <f>Cities!H8-W8</f>
        <v/>
      </c>
      <c r="Y8" s="25">
        <f>(U8*Cities!H8*(1-Cities!I8)-R8)*(1-I8)</f>
        <v/>
      </c>
      <c r="Z8" s="25">
        <f>FLOOR((Cities!K8+Cities!L8+Cities!M8+Cities!J8*Cities!N8)*0.92,5000)</f>
        <v/>
      </c>
      <c r="AA8" s="25">
        <f>CEILING((Cities!K8+Cities!L8+Cities!M8+Cities!J8*Cities!N8)*1.08,5000)</f>
        <v/>
      </c>
      <c r="AB8" s="25">
        <f>(Z8+AA8)/2</f>
        <v/>
      </c>
      <c r="AC8" s="23">
        <f>IF(Y8&gt;0,CEILING(AB8/Y8,1),999)</f>
        <v/>
      </c>
      <c r="AD8" s="27">
        <f>IF(R8&gt;0,Y8/R8,0)</f>
        <v/>
      </c>
      <c r="AE8" s="28">
        <f>IF(V8&lt;S8*0.8,"✓ YES","⚠ TIGHT")</f>
        <v/>
      </c>
    </row>
    <row r="9">
      <c r="A9" s="15">
        <f>Cities!A9</f>
        <v/>
      </c>
      <c r="B9" s="9">
        <f>Cities!D9</f>
        <v/>
      </c>
      <c r="C9" s="23">
        <f>IF(Cities!E9&lt;=750,3,IF(Cities!E9&lt;=850,4,5))</f>
        <v/>
      </c>
      <c r="D9" s="23">
        <f>IF(C9&lt;=4,2,3)</f>
        <v/>
      </c>
      <c r="E9" s="23">
        <f>IF(C9&lt;=4,2,3)</f>
        <v/>
      </c>
      <c r="F9" s="23">
        <f>C9-E9</f>
        <v/>
      </c>
      <c r="G9" s="23">
        <f>CEILING(C9/2,1)</f>
        <v/>
      </c>
      <c r="H9" s="23">
        <f>E9+F9+G9+1</f>
        <v/>
      </c>
      <c r="I9" s="24">
        <f>VLOOKUP(Cities!D9,Country!$A$4:$H$14,3,FALSE)</f>
        <v/>
      </c>
      <c r="J9" s="25">
        <f>VLOOKUP(Cities!D9,Country!$A$4:$H$14,5,FALSE)</f>
        <v/>
      </c>
      <c r="K9" s="25">
        <f>VLOOKUP(Cities!D9,Country!$A$4:$H$14,6,FALSE)</f>
        <v/>
      </c>
      <c r="L9" s="25">
        <f>VLOOKUP(Cities!D9,Country!$A$4:$H$14,7,FALSE)</f>
        <v/>
      </c>
      <c r="M9" s="25">
        <f>VLOOKUP(Cities!D9,Country!$A$4:$H$14,8,FALSE)</f>
        <v/>
      </c>
      <c r="N9" s="25">
        <f>E9*J9+F9*K9+G9*L9+M9</f>
        <v/>
      </c>
      <c r="O9" s="25">
        <f>Cities!J9</f>
        <v/>
      </c>
      <c r="P9" s="25">
        <f>200+C9*80</f>
        <v/>
      </c>
      <c r="Q9" s="25">
        <f>350+C9*50+300+C9*30</f>
        <v/>
      </c>
      <c r="R9" s="25">
        <f>O9+N9+P9+Q9</f>
        <v/>
      </c>
      <c r="S9" s="23">
        <f>C9*Cities!F9*Cities!G9</f>
        <v/>
      </c>
      <c r="T9" s="23">
        <f>INT(S9*Cities!O9)</f>
        <v/>
      </c>
      <c r="U9" s="23">
        <f>INT(S9*Cities!P9)</f>
        <v/>
      </c>
      <c r="V9" s="23">
        <f>CEILING(R9/(Cities!H9*(1-Cities!I9)),1)</f>
        <v/>
      </c>
      <c r="W9" s="26">
        <f>Cities!H9*Cities!I9</f>
        <v/>
      </c>
      <c r="X9" s="26">
        <f>Cities!H9-W9</f>
        <v/>
      </c>
      <c r="Y9" s="25">
        <f>(U9*Cities!H9*(1-Cities!I9)-R9)*(1-I9)</f>
        <v/>
      </c>
      <c r="Z9" s="25">
        <f>FLOOR((Cities!K9+Cities!L9+Cities!M9+Cities!J9*Cities!N9)*0.92,5000)</f>
        <v/>
      </c>
      <c r="AA9" s="25">
        <f>CEILING((Cities!K9+Cities!L9+Cities!M9+Cities!J9*Cities!N9)*1.08,5000)</f>
        <v/>
      </c>
      <c r="AB9" s="25">
        <f>(Z9+AA9)/2</f>
        <v/>
      </c>
      <c r="AC9" s="23">
        <f>IF(Y9&gt;0,CEILING(AB9/Y9,1),999)</f>
        <v/>
      </c>
      <c r="AD9" s="27">
        <f>IF(R9&gt;0,Y9/R9,0)</f>
        <v/>
      </c>
      <c r="AE9" s="28">
        <f>IF(V9&lt;S9*0.8,"✓ YES","⚠ TIGHT")</f>
        <v/>
      </c>
    </row>
    <row r="10">
      <c r="A10" s="15">
        <f>Cities!A10</f>
        <v/>
      </c>
      <c r="B10" s="9">
        <f>Cities!D10</f>
        <v/>
      </c>
      <c r="C10" s="23">
        <f>IF(Cities!E10&lt;=750,3,IF(Cities!E10&lt;=850,4,5))</f>
        <v/>
      </c>
      <c r="D10" s="23">
        <f>IF(C10&lt;=4,2,3)</f>
        <v/>
      </c>
      <c r="E10" s="23">
        <f>IF(C10&lt;=4,2,3)</f>
        <v/>
      </c>
      <c r="F10" s="23">
        <f>C10-E10</f>
        <v/>
      </c>
      <c r="G10" s="23">
        <f>CEILING(C10/2,1)</f>
        <v/>
      </c>
      <c r="H10" s="23">
        <f>E10+F10+G10+1</f>
        <v/>
      </c>
      <c r="I10" s="24">
        <f>VLOOKUP(Cities!D10,Country!$A$4:$H$14,3,FALSE)</f>
        <v/>
      </c>
      <c r="J10" s="25">
        <f>VLOOKUP(Cities!D10,Country!$A$4:$H$14,5,FALSE)</f>
        <v/>
      </c>
      <c r="K10" s="25">
        <f>VLOOKUP(Cities!D10,Country!$A$4:$H$14,6,FALSE)</f>
        <v/>
      </c>
      <c r="L10" s="25">
        <f>VLOOKUP(Cities!D10,Country!$A$4:$H$14,7,FALSE)</f>
        <v/>
      </c>
      <c r="M10" s="25">
        <f>VLOOKUP(Cities!D10,Country!$A$4:$H$14,8,FALSE)</f>
        <v/>
      </c>
      <c r="N10" s="25">
        <f>E10*J10+F10*K10+G10*L10+M10</f>
        <v/>
      </c>
      <c r="O10" s="25">
        <f>Cities!J10</f>
        <v/>
      </c>
      <c r="P10" s="25">
        <f>200+C10*80</f>
        <v/>
      </c>
      <c r="Q10" s="25">
        <f>350+C10*50+300+C10*30</f>
        <v/>
      </c>
      <c r="R10" s="25">
        <f>O10+N10+P10+Q10</f>
        <v/>
      </c>
      <c r="S10" s="23">
        <f>C10*Cities!F10*Cities!G10</f>
        <v/>
      </c>
      <c r="T10" s="23">
        <f>INT(S10*Cities!O10)</f>
        <v/>
      </c>
      <c r="U10" s="23">
        <f>INT(S10*Cities!P10)</f>
        <v/>
      </c>
      <c r="V10" s="23">
        <f>CEILING(R10/(Cities!H10*(1-Cities!I10)),1)</f>
        <v/>
      </c>
      <c r="W10" s="26">
        <f>Cities!H10*Cities!I10</f>
        <v/>
      </c>
      <c r="X10" s="26">
        <f>Cities!H10-W10</f>
        <v/>
      </c>
      <c r="Y10" s="25">
        <f>(U10*Cities!H10*(1-Cities!I10)-R10)*(1-I10)</f>
        <v/>
      </c>
      <c r="Z10" s="25">
        <f>FLOOR((Cities!K10+Cities!L10+Cities!M10+Cities!J10*Cities!N10)*0.92,5000)</f>
        <v/>
      </c>
      <c r="AA10" s="25">
        <f>CEILING((Cities!K10+Cities!L10+Cities!M10+Cities!J10*Cities!N10)*1.08,5000)</f>
        <v/>
      </c>
      <c r="AB10" s="25">
        <f>(Z10+AA10)/2</f>
        <v/>
      </c>
      <c r="AC10" s="23">
        <f>IF(Y10&gt;0,CEILING(AB10/Y10,1),999)</f>
        <v/>
      </c>
      <c r="AD10" s="27">
        <f>IF(R10&gt;0,Y10/R10,0)</f>
        <v/>
      </c>
      <c r="AE10" s="28">
        <f>IF(V10&lt;S10*0.8,"✓ YES","⚠ TIGHT")</f>
        <v/>
      </c>
    </row>
    <row r="11">
      <c r="A11" s="15">
        <f>Cities!A11</f>
        <v/>
      </c>
      <c r="B11" s="9">
        <f>Cities!D11</f>
        <v/>
      </c>
      <c r="C11" s="23">
        <f>IF(Cities!E11&lt;=750,3,IF(Cities!E11&lt;=850,4,5))</f>
        <v/>
      </c>
      <c r="D11" s="23">
        <f>IF(C11&lt;=4,2,3)</f>
        <v/>
      </c>
      <c r="E11" s="23">
        <f>IF(C11&lt;=4,2,3)</f>
        <v/>
      </c>
      <c r="F11" s="23">
        <f>C11-E11</f>
        <v/>
      </c>
      <c r="G11" s="23">
        <f>CEILING(C11/2,1)</f>
        <v/>
      </c>
      <c r="H11" s="23">
        <f>E11+F11+G11+1</f>
        <v/>
      </c>
      <c r="I11" s="24">
        <f>VLOOKUP(Cities!D11,Country!$A$4:$H$14,3,FALSE)</f>
        <v/>
      </c>
      <c r="J11" s="25">
        <f>VLOOKUP(Cities!D11,Country!$A$4:$H$14,5,FALSE)</f>
        <v/>
      </c>
      <c r="K11" s="25">
        <f>VLOOKUP(Cities!D11,Country!$A$4:$H$14,6,FALSE)</f>
        <v/>
      </c>
      <c r="L11" s="25">
        <f>VLOOKUP(Cities!D11,Country!$A$4:$H$14,7,FALSE)</f>
        <v/>
      </c>
      <c r="M11" s="25">
        <f>VLOOKUP(Cities!D11,Country!$A$4:$H$14,8,FALSE)</f>
        <v/>
      </c>
      <c r="N11" s="25">
        <f>E11*J11+F11*K11+G11*L11+M11</f>
        <v/>
      </c>
      <c r="O11" s="25">
        <f>Cities!J11</f>
        <v/>
      </c>
      <c r="P11" s="25">
        <f>200+C11*80</f>
        <v/>
      </c>
      <c r="Q11" s="25">
        <f>350+C11*50+300+C11*30</f>
        <v/>
      </c>
      <c r="R11" s="25">
        <f>O11+N11+P11+Q11</f>
        <v/>
      </c>
      <c r="S11" s="23">
        <f>C11*Cities!F11*Cities!G11</f>
        <v/>
      </c>
      <c r="T11" s="23">
        <f>INT(S11*Cities!O11)</f>
        <v/>
      </c>
      <c r="U11" s="23">
        <f>INT(S11*Cities!P11)</f>
        <v/>
      </c>
      <c r="V11" s="23">
        <f>CEILING(R11/(Cities!H11*(1-Cities!I11)),1)</f>
        <v/>
      </c>
      <c r="W11" s="26">
        <f>Cities!H11*Cities!I11</f>
        <v/>
      </c>
      <c r="X11" s="26">
        <f>Cities!H11-W11</f>
        <v/>
      </c>
      <c r="Y11" s="25">
        <f>(U11*Cities!H11*(1-Cities!I11)-R11)*(1-I11)</f>
        <v/>
      </c>
      <c r="Z11" s="25">
        <f>FLOOR((Cities!K11+Cities!L11+Cities!M11+Cities!J11*Cities!N11)*0.92,5000)</f>
        <v/>
      </c>
      <c r="AA11" s="25">
        <f>CEILING((Cities!K11+Cities!L11+Cities!M11+Cities!J11*Cities!N11)*1.08,5000)</f>
        <v/>
      </c>
      <c r="AB11" s="25">
        <f>(Z11+AA11)/2</f>
        <v/>
      </c>
      <c r="AC11" s="23">
        <f>IF(Y11&gt;0,CEILING(AB11/Y11,1),999)</f>
        <v/>
      </c>
      <c r="AD11" s="27">
        <f>IF(R11&gt;0,Y11/R11,0)</f>
        <v/>
      </c>
      <c r="AE11" s="28">
        <f>IF(V11&lt;S11*0.8,"✓ YES","⚠ TIGHT")</f>
        <v/>
      </c>
    </row>
    <row r="12">
      <c r="A12" s="15">
        <f>Cities!A12</f>
        <v/>
      </c>
      <c r="B12" s="9">
        <f>Cities!D12</f>
        <v/>
      </c>
      <c r="C12" s="23">
        <f>IF(Cities!E12&lt;=750,3,IF(Cities!E12&lt;=850,4,5))</f>
        <v/>
      </c>
      <c r="D12" s="23">
        <f>IF(C12&lt;=4,2,3)</f>
        <v/>
      </c>
      <c r="E12" s="23">
        <f>IF(C12&lt;=4,2,3)</f>
        <v/>
      </c>
      <c r="F12" s="23">
        <f>C12-E12</f>
        <v/>
      </c>
      <c r="G12" s="23">
        <f>CEILING(C12/2,1)</f>
        <v/>
      </c>
      <c r="H12" s="23">
        <f>E12+F12+G12+1</f>
        <v/>
      </c>
      <c r="I12" s="24">
        <f>VLOOKUP(Cities!D12,Country!$A$4:$H$14,3,FALSE)</f>
        <v/>
      </c>
      <c r="J12" s="25">
        <f>VLOOKUP(Cities!D12,Country!$A$4:$H$14,5,FALSE)</f>
        <v/>
      </c>
      <c r="K12" s="25">
        <f>VLOOKUP(Cities!D12,Country!$A$4:$H$14,6,FALSE)</f>
        <v/>
      </c>
      <c r="L12" s="25">
        <f>VLOOKUP(Cities!D12,Country!$A$4:$H$14,7,FALSE)</f>
        <v/>
      </c>
      <c r="M12" s="25">
        <f>VLOOKUP(Cities!D12,Country!$A$4:$H$14,8,FALSE)</f>
        <v/>
      </c>
      <c r="N12" s="25">
        <f>E12*J12+F12*K12+G12*L12+M12</f>
        <v/>
      </c>
      <c r="O12" s="25">
        <f>Cities!J12</f>
        <v/>
      </c>
      <c r="P12" s="25">
        <f>200+C12*80</f>
        <v/>
      </c>
      <c r="Q12" s="25">
        <f>350+C12*50+300+C12*30</f>
        <v/>
      </c>
      <c r="R12" s="25">
        <f>O12+N12+P12+Q12</f>
        <v/>
      </c>
      <c r="S12" s="23">
        <f>C12*Cities!F12*Cities!G12</f>
        <v/>
      </c>
      <c r="T12" s="23">
        <f>INT(S12*Cities!O12)</f>
        <v/>
      </c>
      <c r="U12" s="23">
        <f>INT(S12*Cities!P12)</f>
        <v/>
      </c>
      <c r="V12" s="23">
        <f>CEILING(R12/(Cities!H12*(1-Cities!I12)),1)</f>
        <v/>
      </c>
      <c r="W12" s="26">
        <f>Cities!H12*Cities!I12</f>
        <v/>
      </c>
      <c r="X12" s="26">
        <f>Cities!H12-W12</f>
        <v/>
      </c>
      <c r="Y12" s="25">
        <f>(U12*Cities!H12*(1-Cities!I12)-R12)*(1-I12)</f>
        <v/>
      </c>
      <c r="Z12" s="25">
        <f>FLOOR((Cities!K12+Cities!L12+Cities!M12+Cities!J12*Cities!N12)*0.92,5000)</f>
        <v/>
      </c>
      <c r="AA12" s="25">
        <f>CEILING((Cities!K12+Cities!L12+Cities!M12+Cities!J12*Cities!N12)*1.08,5000)</f>
        <v/>
      </c>
      <c r="AB12" s="25">
        <f>(Z12+AA12)/2</f>
        <v/>
      </c>
      <c r="AC12" s="23">
        <f>IF(Y12&gt;0,CEILING(AB12/Y12,1),999)</f>
        <v/>
      </c>
      <c r="AD12" s="27">
        <f>IF(R12&gt;0,Y12/R12,0)</f>
        <v/>
      </c>
      <c r="AE12" s="28">
        <f>IF(V12&lt;S12*0.8,"✓ YES","⚠ TIGHT")</f>
        <v/>
      </c>
    </row>
    <row r="13">
      <c r="A13" s="15">
        <f>Cities!A13</f>
        <v/>
      </c>
      <c r="B13" s="9">
        <f>Cities!D13</f>
        <v/>
      </c>
      <c r="C13" s="23">
        <f>IF(Cities!E13&lt;=750,3,IF(Cities!E13&lt;=850,4,5))</f>
        <v/>
      </c>
      <c r="D13" s="23">
        <f>IF(C13&lt;=4,2,3)</f>
        <v/>
      </c>
      <c r="E13" s="23">
        <f>IF(C13&lt;=4,2,3)</f>
        <v/>
      </c>
      <c r="F13" s="23">
        <f>C13-E13</f>
        <v/>
      </c>
      <c r="G13" s="23">
        <f>CEILING(C13/2,1)</f>
        <v/>
      </c>
      <c r="H13" s="23">
        <f>E13+F13+G13+1</f>
        <v/>
      </c>
      <c r="I13" s="24">
        <f>VLOOKUP(Cities!D13,Country!$A$4:$H$14,3,FALSE)</f>
        <v/>
      </c>
      <c r="J13" s="25">
        <f>VLOOKUP(Cities!D13,Country!$A$4:$H$14,5,FALSE)</f>
        <v/>
      </c>
      <c r="K13" s="25">
        <f>VLOOKUP(Cities!D13,Country!$A$4:$H$14,6,FALSE)</f>
        <v/>
      </c>
      <c r="L13" s="25">
        <f>VLOOKUP(Cities!D13,Country!$A$4:$H$14,7,FALSE)</f>
        <v/>
      </c>
      <c r="M13" s="25">
        <f>VLOOKUP(Cities!D13,Country!$A$4:$H$14,8,FALSE)</f>
        <v/>
      </c>
      <c r="N13" s="25">
        <f>E13*J13+F13*K13+G13*L13+M13</f>
        <v/>
      </c>
      <c r="O13" s="25">
        <f>Cities!J13</f>
        <v/>
      </c>
      <c r="P13" s="25">
        <f>200+C13*80</f>
        <v/>
      </c>
      <c r="Q13" s="25">
        <f>350+C13*50+300+C13*30</f>
        <v/>
      </c>
      <c r="R13" s="25">
        <f>O13+N13+P13+Q13</f>
        <v/>
      </c>
      <c r="S13" s="23">
        <f>C13*Cities!F13*Cities!G13</f>
        <v/>
      </c>
      <c r="T13" s="23">
        <f>INT(S13*Cities!O13)</f>
        <v/>
      </c>
      <c r="U13" s="23">
        <f>INT(S13*Cities!P13)</f>
        <v/>
      </c>
      <c r="V13" s="23">
        <f>CEILING(R13/(Cities!H13*(1-Cities!I13)),1)</f>
        <v/>
      </c>
      <c r="W13" s="26">
        <f>Cities!H13*Cities!I13</f>
        <v/>
      </c>
      <c r="X13" s="26">
        <f>Cities!H13-W13</f>
        <v/>
      </c>
      <c r="Y13" s="25">
        <f>(U13*Cities!H13*(1-Cities!I13)-R13)*(1-I13)</f>
        <v/>
      </c>
      <c r="Z13" s="25">
        <f>FLOOR((Cities!K13+Cities!L13+Cities!M13+Cities!J13*Cities!N13)*0.92,5000)</f>
        <v/>
      </c>
      <c r="AA13" s="25">
        <f>CEILING((Cities!K13+Cities!L13+Cities!M13+Cities!J13*Cities!N13)*1.08,5000)</f>
        <v/>
      </c>
      <c r="AB13" s="25">
        <f>(Z13+AA13)/2</f>
        <v/>
      </c>
      <c r="AC13" s="23">
        <f>IF(Y13&gt;0,CEILING(AB13/Y13,1),999)</f>
        <v/>
      </c>
      <c r="AD13" s="27">
        <f>IF(R13&gt;0,Y13/R13,0)</f>
        <v/>
      </c>
      <c r="AE13" s="28">
        <f>IF(V13&lt;S13*0.8,"✓ YES","⚠ TIGHT")</f>
        <v/>
      </c>
    </row>
    <row r="14">
      <c r="A14" s="15">
        <f>Cities!A14</f>
        <v/>
      </c>
      <c r="B14" s="9">
        <f>Cities!D14</f>
        <v/>
      </c>
      <c r="C14" s="23">
        <f>IF(Cities!E14&lt;=750,3,IF(Cities!E14&lt;=850,4,5))</f>
        <v/>
      </c>
      <c r="D14" s="23">
        <f>IF(C14&lt;=4,2,3)</f>
        <v/>
      </c>
      <c r="E14" s="23">
        <f>IF(C14&lt;=4,2,3)</f>
        <v/>
      </c>
      <c r="F14" s="23">
        <f>C14-E14</f>
        <v/>
      </c>
      <c r="G14" s="23">
        <f>CEILING(C14/2,1)</f>
        <v/>
      </c>
      <c r="H14" s="23">
        <f>E14+F14+G14+1</f>
        <v/>
      </c>
      <c r="I14" s="24">
        <f>VLOOKUP(Cities!D14,Country!$A$4:$H$14,3,FALSE)</f>
        <v/>
      </c>
      <c r="J14" s="25">
        <f>VLOOKUP(Cities!D14,Country!$A$4:$H$14,5,FALSE)</f>
        <v/>
      </c>
      <c r="K14" s="25">
        <f>VLOOKUP(Cities!D14,Country!$A$4:$H$14,6,FALSE)</f>
        <v/>
      </c>
      <c r="L14" s="25">
        <f>VLOOKUP(Cities!D14,Country!$A$4:$H$14,7,FALSE)</f>
        <v/>
      </c>
      <c r="M14" s="25">
        <f>VLOOKUP(Cities!D14,Country!$A$4:$H$14,8,FALSE)</f>
        <v/>
      </c>
      <c r="N14" s="25">
        <f>E14*J14+F14*K14+G14*L14+M14</f>
        <v/>
      </c>
      <c r="O14" s="25">
        <f>Cities!J14</f>
        <v/>
      </c>
      <c r="P14" s="25">
        <f>200+C14*80</f>
        <v/>
      </c>
      <c r="Q14" s="25">
        <f>350+C14*50+300+C14*30</f>
        <v/>
      </c>
      <c r="R14" s="25">
        <f>O14+N14+P14+Q14</f>
        <v/>
      </c>
      <c r="S14" s="23">
        <f>C14*Cities!F14*Cities!G14</f>
        <v/>
      </c>
      <c r="T14" s="23">
        <f>INT(S14*Cities!O14)</f>
        <v/>
      </c>
      <c r="U14" s="23">
        <f>INT(S14*Cities!P14)</f>
        <v/>
      </c>
      <c r="V14" s="23">
        <f>CEILING(R14/(Cities!H14*(1-Cities!I14)),1)</f>
        <v/>
      </c>
      <c r="W14" s="26">
        <f>Cities!H14*Cities!I14</f>
        <v/>
      </c>
      <c r="X14" s="26">
        <f>Cities!H14-W14</f>
        <v/>
      </c>
      <c r="Y14" s="25">
        <f>(U14*Cities!H14*(1-Cities!I14)-R14)*(1-I14)</f>
        <v/>
      </c>
      <c r="Z14" s="25">
        <f>FLOOR((Cities!K14+Cities!L14+Cities!M14+Cities!J14*Cities!N14)*0.92,5000)</f>
        <v/>
      </c>
      <c r="AA14" s="25">
        <f>CEILING((Cities!K14+Cities!L14+Cities!M14+Cities!J14*Cities!N14)*1.08,5000)</f>
        <v/>
      </c>
      <c r="AB14" s="25">
        <f>(Z14+AA14)/2</f>
        <v/>
      </c>
      <c r="AC14" s="23">
        <f>IF(Y14&gt;0,CEILING(AB14/Y14,1),999)</f>
        <v/>
      </c>
      <c r="AD14" s="27">
        <f>IF(R14&gt;0,Y14/R14,0)</f>
        <v/>
      </c>
      <c r="AE14" s="28">
        <f>IF(V14&lt;S14*0.8,"✓ YES","⚠ TIGHT")</f>
        <v/>
      </c>
    </row>
    <row r="15">
      <c r="A15" s="15">
        <f>Cities!A15</f>
        <v/>
      </c>
      <c r="B15" s="9">
        <f>Cities!D15</f>
        <v/>
      </c>
      <c r="C15" s="23">
        <f>IF(Cities!E15&lt;=750,3,IF(Cities!E15&lt;=850,4,5))</f>
        <v/>
      </c>
      <c r="D15" s="23">
        <f>IF(C15&lt;=4,2,3)</f>
        <v/>
      </c>
      <c r="E15" s="23">
        <f>IF(C15&lt;=4,2,3)</f>
        <v/>
      </c>
      <c r="F15" s="23">
        <f>C15-E15</f>
        <v/>
      </c>
      <c r="G15" s="23">
        <f>CEILING(C15/2,1)</f>
        <v/>
      </c>
      <c r="H15" s="23">
        <f>E15+F15+G15+1</f>
        <v/>
      </c>
      <c r="I15" s="24">
        <f>VLOOKUP(Cities!D15,Country!$A$4:$H$14,3,FALSE)</f>
        <v/>
      </c>
      <c r="J15" s="25">
        <f>VLOOKUP(Cities!D15,Country!$A$4:$H$14,5,FALSE)</f>
        <v/>
      </c>
      <c r="K15" s="25">
        <f>VLOOKUP(Cities!D15,Country!$A$4:$H$14,6,FALSE)</f>
        <v/>
      </c>
      <c r="L15" s="25">
        <f>VLOOKUP(Cities!D15,Country!$A$4:$H$14,7,FALSE)</f>
        <v/>
      </c>
      <c r="M15" s="25">
        <f>VLOOKUP(Cities!D15,Country!$A$4:$H$14,8,FALSE)</f>
        <v/>
      </c>
      <c r="N15" s="25">
        <f>E15*J15+F15*K15+G15*L15+M15</f>
        <v/>
      </c>
      <c r="O15" s="25">
        <f>Cities!J15</f>
        <v/>
      </c>
      <c r="P15" s="25">
        <f>200+C15*80</f>
        <v/>
      </c>
      <c r="Q15" s="25">
        <f>350+C15*50+300+C15*30</f>
        <v/>
      </c>
      <c r="R15" s="25">
        <f>O15+N15+P15+Q15</f>
        <v/>
      </c>
      <c r="S15" s="23">
        <f>C15*Cities!F15*Cities!G15</f>
        <v/>
      </c>
      <c r="T15" s="23">
        <f>INT(S15*Cities!O15)</f>
        <v/>
      </c>
      <c r="U15" s="23">
        <f>INT(S15*Cities!P15)</f>
        <v/>
      </c>
      <c r="V15" s="23">
        <f>CEILING(R15/(Cities!H15*(1-Cities!I15)),1)</f>
        <v/>
      </c>
      <c r="W15" s="26">
        <f>Cities!H15*Cities!I15</f>
        <v/>
      </c>
      <c r="X15" s="26">
        <f>Cities!H15-W15</f>
        <v/>
      </c>
      <c r="Y15" s="25">
        <f>(U15*Cities!H15*(1-Cities!I15)-R15)*(1-I15)</f>
        <v/>
      </c>
      <c r="Z15" s="25">
        <f>FLOOR((Cities!K15+Cities!L15+Cities!M15+Cities!J15*Cities!N15)*0.92,5000)</f>
        <v/>
      </c>
      <c r="AA15" s="25">
        <f>CEILING((Cities!K15+Cities!L15+Cities!M15+Cities!J15*Cities!N15)*1.08,5000)</f>
        <v/>
      </c>
      <c r="AB15" s="25">
        <f>(Z15+AA15)/2</f>
        <v/>
      </c>
      <c r="AC15" s="23">
        <f>IF(Y15&gt;0,CEILING(AB15/Y15,1),999)</f>
        <v/>
      </c>
      <c r="AD15" s="27">
        <f>IF(R15&gt;0,Y15/R15,0)</f>
        <v/>
      </c>
      <c r="AE15" s="28">
        <f>IF(V15&lt;S15*0.8,"✓ YES","⚠ TIGHT")</f>
        <v/>
      </c>
    </row>
    <row r="16">
      <c r="A16" s="15">
        <f>Cities!A16</f>
        <v/>
      </c>
      <c r="B16" s="9">
        <f>Cities!D16</f>
        <v/>
      </c>
      <c r="C16" s="23">
        <f>IF(Cities!E16&lt;=750,3,IF(Cities!E16&lt;=850,4,5))</f>
        <v/>
      </c>
      <c r="D16" s="23">
        <f>IF(C16&lt;=4,2,3)</f>
        <v/>
      </c>
      <c r="E16" s="23">
        <f>IF(C16&lt;=4,2,3)</f>
        <v/>
      </c>
      <c r="F16" s="23">
        <f>C16-E16</f>
        <v/>
      </c>
      <c r="G16" s="23">
        <f>CEILING(C16/2,1)</f>
        <v/>
      </c>
      <c r="H16" s="23">
        <f>E16+F16+G16+1</f>
        <v/>
      </c>
      <c r="I16" s="24">
        <f>VLOOKUP(Cities!D16,Country!$A$4:$H$14,3,FALSE)</f>
        <v/>
      </c>
      <c r="J16" s="25">
        <f>VLOOKUP(Cities!D16,Country!$A$4:$H$14,5,FALSE)</f>
        <v/>
      </c>
      <c r="K16" s="25">
        <f>VLOOKUP(Cities!D16,Country!$A$4:$H$14,6,FALSE)</f>
        <v/>
      </c>
      <c r="L16" s="25">
        <f>VLOOKUP(Cities!D16,Country!$A$4:$H$14,7,FALSE)</f>
        <v/>
      </c>
      <c r="M16" s="25">
        <f>VLOOKUP(Cities!D16,Country!$A$4:$H$14,8,FALSE)</f>
        <v/>
      </c>
      <c r="N16" s="25">
        <f>E16*J16+F16*K16+G16*L16+M16</f>
        <v/>
      </c>
      <c r="O16" s="25">
        <f>Cities!J16</f>
        <v/>
      </c>
      <c r="P16" s="25">
        <f>200+C16*80</f>
        <v/>
      </c>
      <c r="Q16" s="25">
        <f>350+C16*50+300+C16*30</f>
        <v/>
      </c>
      <c r="R16" s="25">
        <f>O16+N16+P16+Q16</f>
        <v/>
      </c>
      <c r="S16" s="23">
        <f>C16*Cities!F16*Cities!G16</f>
        <v/>
      </c>
      <c r="T16" s="23">
        <f>INT(S16*Cities!O16)</f>
        <v/>
      </c>
      <c r="U16" s="23">
        <f>INT(S16*Cities!P16)</f>
        <v/>
      </c>
      <c r="V16" s="23">
        <f>CEILING(R16/(Cities!H16*(1-Cities!I16)),1)</f>
        <v/>
      </c>
      <c r="W16" s="26">
        <f>Cities!H16*Cities!I16</f>
        <v/>
      </c>
      <c r="X16" s="26">
        <f>Cities!H16-W16</f>
        <v/>
      </c>
      <c r="Y16" s="25">
        <f>(U16*Cities!H16*(1-Cities!I16)-R16)*(1-I16)</f>
        <v/>
      </c>
      <c r="Z16" s="25">
        <f>FLOOR((Cities!K16+Cities!L16+Cities!M16+Cities!J16*Cities!N16)*0.92,5000)</f>
        <v/>
      </c>
      <c r="AA16" s="25">
        <f>CEILING((Cities!K16+Cities!L16+Cities!M16+Cities!J16*Cities!N16)*1.08,5000)</f>
        <v/>
      </c>
      <c r="AB16" s="25">
        <f>(Z16+AA16)/2</f>
        <v/>
      </c>
      <c r="AC16" s="23">
        <f>IF(Y16&gt;0,CEILING(AB16/Y16,1),999)</f>
        <v/>
      </c>
      <c r="AD16" s="27">
        <f>IF(R16&gt;0,Y16/R16,0)</f>
        <v/>
      </c>
      <c r="AE16" s="28">
        <f>IF(V16&lt;S16*0.8,"✓ YES","⚠ TIGHT")</f>
        <v/>
      </c>
    </row>
    <row r="17">
      <c r="A17" s="15">
        <f>Cities!A17</f>
        <v/>
      </c>
      <c r="B17" s="9">
        <f>Cities!D17</f>
        <v/>
      </c>
      <c r="C17" s="23">
        <f>IF(Cities!E17&lt;=750,3,IF(Cities!E17&lt;=850,4,5))</f>
        <v/>
      </c>
      <c r="D17" s="23">
        <f>IF(C17&lt;=4,2,3)</f>
        <v/>
      </c>
      <c r="E17" s="23">
        <f>IF(C17&lt;=4,2,3)</f>
        <v/>
      </c>
      <c r="F17" s="23">
        <f>C17-E17</f>
        <v/>
      </c>
      <c r="G17" s="23">
        <f>CEILING(C17/2,1)</f>
        <v/>
      </c>
      <c r="H17" s="23">
        <f>E17+F17+G17+1</f>
        <v/>
      </c>
      <c r="I17" s="24">
        <f>VLOOKUP(Cities!D17,Country!$A$4:$H$14,3,FALSE)</f>
        <v/>
      </c>
      <c r="J17" s="25">
        <f>VLOOKUP(Cities!D17,Country!$A$4:$H$14,5,FALSE)</f>
        <v/>
      </c>
      <c r="K17" s="25">
        <f>VLOOKUP(Cities!D17,Country!$A$4:$H$14,6,FALSE)</f>
        <v/>
      </c>
      <c r="L17" s="25">
        <f>VLOOKUP(Cities!D17,Country!$A$4:$H$14,7,FALSE)</f>
        <v/>
      </c>
      <c r="M17" s="25">
        <f>VLOOKUP(Cities!D17,Country!$A$4:$H$14,8,FALSE)</f>
        <v/>
      </c>
      <c r="N17" s="25">
        <f>E17*J17+F17*K17+G17*L17+M17</f>
        <v/>
      </c>
      <c r="O17" s="25">
        <f>Cities!J17</f>
        <v/>
      </c>
      <c r="P17" s="25">
        <f>200+C17*80</f>
        <v/>
      </c>
      <c r="Q17" s="25">
        <f>350+C17*50+300+C17*30</f>
        <v/>
      </c>
      <c r="R17" s="25">
        <f>O17+N17+P17+Q17</f>
        <v/>
      </c>
      <c r="S17" s="23">
        <f>C17*Cities!F17*Cities!G17</f>
        <v/>
      </c>
      <c r="T17" s="23">
        <f>INT(S17*Cities!O17)</f>
        <v/>
      </c>
      <c r="U17" s="23">
        <f>INT(S17*Cities!P17)</f>
        <v/>
      </c>
      <c r="V17" s="23">
        <f>CEILING(R17/(Cities!H17*(1-Cities!I17)),1)</f>
        <v/>
      </c>
      <c r="W17" s="26">
        <f>Cities!H17*Cities!I17</f>
        <v/>
      </c>
      <c r="X17" s="26">
        <f>Cities!H17-W17</f>
        <v/>
      </c>
      <c r="Y17" s="25">
        <f>(U17*Cities!H17*(1-Cities!I17)-R17)*(1-I17)</f>
        <v/>
      </c>
      <c r="Z17" s="25">
        <f>FLOOR((Cities!K17+Cities!L17+Cities!M17+Cities!J17*Cities!N17)*0.92,5000)</f>
        <v/>
      </c>
      <c r="AA17" s="25">
        <f>CEILING((Cities!K17+Cities!L17+Cities!M17+Cities!J17*Cities!N17)*1.08,5000)</f>
        <v/>
      </c>
      <c r="AB17" s="25">
        <f>(Z17+AA17)/2</f>
        <v/>
      </c>
      <c r="AC17" s="23">
        <f>IF(Y17&gt;0,CEILING(AB17/Y17,1),999)</f>
        <v/>
      </c>
      <c r="AD17" s="27">
        <f>IF(R17&gt;0,Y17/R17,0)</f>
        <v/>
      </c>
      <c r="AE17" s="28">
        <f>IF(V17&lt;S17*0.8,"✓ YES","⚠ TIGHT")</f>
        <v/>
      </c>
    </row>
    <row r="18">
      <c r="A18" s="15">
        <f>Cities!A18</f>
        <v/>
      </c>
      <c r="B18" s="9">
        <f>Cities!D18</f>
        <v/>
      </c>
      <c r="C18" s="23">
        <f>IF(Cities!E18&lt;=750,3,IF(Cities!E18&lt;=850,4,5))</f>
        <v/>
      </c>
      <c r="D18" s="23">
        <f>IF(C18&lt;=4,2,3)</f>
        <v/>
      </c>
      <c r="E18" s="23">
        <f>IF(C18&lt;=4,2,3)</f>
        <v/>
      </c>
      <c r="F18" s="23">
        <f>C18-E18</f>
        <v/>
      </c>
      <c r="G18" s="23">
        <f>CEILING(C18/2,1)</f>
        <v/>
      </c>
      <c r="H18" s="23">
        <f>E18+F18+G18+1</f>
        <v/>
      </c>
      <c r="I18" s="24">
        <f>VLOOKUP(Cities!D18,Country!$A$4:$H$14,3,FALSE)</f>
        <v/>
      </c>
      <c r="J18" s="25">
        <f>VLOOKUP(Cities!D18,Country!$A$4:$H$14,5,FALSE)</f>
        <v/>
      </c>
      <c r="K18" s="25">
        <f>VLOOKUP(Cities!D18,Country!$A$4:$H$14,6,FALSE)</f>
        <v/>
      </c>
      <c r="L18" s="25">
        <f>VLOOKUP(Cities!D18,Country!$A$4:$H$14,7,FALSE)</f>
        <v/>
      </c>
      <c r="M18" s="25">
        <f>VLOOKUP(Cities!D18,Country!$A$4:$H$14,8,FALSE)</f>
        <v/>
      </c>
      <c r="N18" s="25">
        <f>E18*J18+F18*K18+G18*L18+M18</f>
        <v/>
      </c>
      <c r="O18" s="25">
        <f>Cities!J18</f>
        <v/>
      </c>
      <c r="P18" s="25">
        <f>200+C18*80</f>
        <v/>
      </c>
      <c r="Q18" s="25">
        <f>350+C18*50+300+C18*30</f>
        <v/>
      </c>
      <c r="R18" s="25">
        <f>O18+N18+P18+Q18</f>
        <v/>
      </c>
      <c r="S18" s="23">
        <f>C18*Cities!F18*Cities!G18</f>
        <v/>
      </c>
      <c r="T18" s="23">
        <f>INT(S18*Cities!O18)</f>
        <v/>
      </c>
      <c r="U18" s="23">
        <f>INT(S18*Cities!P18)</f>
        <v/>
      </c>
      <c r="V18" s="23">
        <f>CEILING(R18/(Cities!H18*(1-Cities!I18)),1)</f>
        <v/>
      </c>
      <c r="W18" s="26">
        <f>Cities!H18*Cities!I18</f>
        <v/>
      </c>
      <c r="X18" s="26">
        <f>Cities!H18-W18</f>
        <v/>
      </c>
      <c r="Y18" s="25">
        <f>(U18*Cities!H18*(1-Cities!I18)-R18)*(1-I18)</f>
        <v/>
      </c>
      <c r="Z18" s="25">
        <f>FLOOR((Cities!K18+Cities!L18+Cities!M18+Cities!J18*Cities!N18)*0.92,5000)</f>
        <v/>
      </c>
      <c r="AA18" s="25">
        <f>CEILING((Cities!K18+Cities!L18+Cities!M18+Cities!J18*Cities!N18)*1.08,5000)</f>
        <v/>
      </c>
      <c r="AB18" s="25">
        <f>(Z18+AA18)/2</f>
        <v/>
      </c>
      <c r="AC18" s="23">
        <f>IF(Y18&gt;0,CEILING(AB18/Y18,1),999)</f>
        <v/>
      </c>
      <c r="AD18" s="27">
        <f>IF(R18&gt;0,Y18/R18,0)</f>
        <v/>
      </c>
      <c r="AE18" s="28">
        <f>IF(V18&lt;S18*0.8,"✓ YES","⚠ TIGHT")</f>
        <v/>
      </c>
    </row>
    <row r="19">
      <c r="A19" s="15">
        <f>Cities!A19</f>
        <v/>
      </c>
      <c r="B19" s="9">
        <f>Cities!D19</f>
        <v/>
      </c>
      <c r="C19" s="23">
        <f>IF(Cities!E19&lt;=750,3,IF(Cities!E19&lt;=850,4,5))</f>
        <v/>
      </c>
      <c r="D19" s="23">
        <f>IF(C19&lt;=4,2,3)</f>
        <v/>
      </c>
      <c r="E19" s="23">
        <f>IF(C19&lt;=4,2,3)</f>
        <v/>
      </c>
      <c r="F19" s="23">
        <f>C19-E19</f>
        <v/>
      </c>
      <c r="G19" s="23">
        <f>CEILING(C19/2,1)</f>
        <v/>
      </c>
      <c r="H19" s="23">
        <f>E19+F19+G19+1</f>
        <v/>
      </c>
      <c r="I19" s="24">
        <f>VLOOKUP(Cities!D19,Country!$A$4:$H$14,3,FALSE)</f>
        <v/>
      </c>
      <c r="J19" s="25">
        <f>VLOOKUP(Cities!D19,Country!$A$4:$H$14,5,FALSE)</f>
        <v/>
      </c>
      <c r="K19" s="25">
        <f>VLOOKUP(Cities!D19,Country!$A$4:$H$14,6,FALSE)</f>
        <v/>
      </c>
      <c r="L19" s="25">
        <f>VLOOKUP(Cities!D19,Country!$A$4:$H$14,7,FALSE)</f>
        <v/>
      </c>
      <c r="M19" s="25">
        <f>VLOOKUP(Cities!D19,Country!$A$4:$H$14,8,FALSE)</f>
        <v/>
      </c>
      <c r="N19" s="25">
        <f>E19*J19+F19*K19+G19*L19+M19</f>
        <v/>
      </c>
      <c r="O19" s="25">
        <f>Cities!J19</f>
        <v/>
      </c>
      <c r="P19" s="25">
        <f>200+C19*80</f>
        <v/>
      </c>
      <c r="Q19" s="25">
        <f>350+C19*50+300+C19*30</f>
        <v/>
      </c>
      <c r="R19" s="25">
        <f>O19+N19+P19+Q19</f>
        <v/>
      </c>
      <c r="S19" s="23">
        <f>C19*Cities!F19*Cities!G19</f>
        <v/>
      </c>
      <c r="T19" s="23">
        <f>INT(S19*Cities!O19)</f>
        <v/>
      </c>
      <c r="U19" s="23">
        <f>INT(S19*Cities!P19)</f>
        <v/>
      </c>
      <c r="V19" s="23">
        <f>CEILING(R19/(Cities!H19*(1-Cities!I19)),1)</f>
        <v/>
      </c>
      <c r="W19" s="26">
        <f>Cities!H19*Cities!I19</f>
        <v/>
      </c>
      <c r="X19" s="26">
        <f>Cities!H19-W19</f>
        <v/>
      </c>
      <c r="Y19" s="25">
        <f>(U19*Cities!H19*(1-Cities!I19)-R19)*(1-I19)</f>
        <v/>
      </c>
      <c r="Z19" s="25">
        <f>FLOOR((Cities!K19+Cities!L19+Cities!M19+Cities!J19*Cities!N19)*0.92,5000)</f>
        <v/>
      </c>
      <c r="AA19" s="25">
        <f>CEILING((Cities!K19+Cities!L19+Cities!M19+Cities!J19*Cities!N19)*1.08,5000)</f>
        <v/>
      </c>
      <c r="AB19" s="25">
        <f>(Z19+AA19)/2</f>
        <v/>
      </c>
      <c r="AC19" s="23">
        <f>IF(Y19&gt;0,CEILING(AB19/Y19,1),999)</f>
        <v/>
      </c>
      <c r="AD19" s="27">
        <f>IF(R19&gt;0,Y19/R19,0)</f>
        <v/>
      </c>
      <c r="AE19" s="28">
        <f>IF(V19&lt;S19*0.8,"✓ YES","⚠ TIGHT")</f>
        <v/>
      </c>
    </row>
    <row r="20">
      <c r="A20" s="15">
        <f>Cities!A20</f>
        <v/>
      </c>
      <c r="B20" s="9">
        <f>Cities!D20</f>
        <v/>
      </c>
      <c r="C20" s="23">
        <f>IF(Cities!E20&lt;=750,3,IF(Cities!E20&lt;=850,4,5))</f>
        <v/>
      </c>
      <c r="D20" s="23">
        <f>IF(C20&lt;=4,2,3)</f>
        <v/>
      </c>
      <c r="E20" s="23">
        <f>IF(C20&lt;=4,2,3)</f>
        <v/>
      </c>
      <c r="F20" s="23">
        <f>C20-E20</f>
        <v/>
      </c>
      <c r="G20" s="23">
        <f>CEILING(C20/2,1)</f>
        <v/>
      </c>
      <c r="H20" s="23">
        <f>E20+F20+G20+1</f>
        <v/>
      </c>
      <c r="I20" s="24">
        <f>VLOOKUP(Cities!D20,Country!$A$4:$H$14,3,FALSE)</f>
        <v/>
      </c>
      <c r="J20" s="25">
        <f>VLOOKUP(Cities!D20,Country!$A$4:$H$14,5,FALSE)</f>
        <v/>
      </c>
      <c r="K20" s="25">
        <f>VLOOKUP(Cities!D20,Country!$A$4:$H$14,6,FALSE)</f>
        <v/>
      </c>
      <c r="L20" s="25">
        <f>VLOOKUP(Cities!D20,Country!$A$4:$H$14,7,FALSE)</f>
        <v/>
      </c>
      <c r="M20" s="25">
        <f>VLOOKUP(Cities!D20,Country!$A$4:$H$14,8,FALSE)</f>
        <v/>
      </c>
      <c r="N20" s="25">
        <f>E20*J20+F20*K20+G20*L20+M20</f>
        <v/>
      </c>
      <c r="O20" s="25">
        <f>Cities!J20</f>
        <v/>
      </c>
      <c r="P20" s="25">
        <f>200+C20*80</f>
        <v/>
      </c>
      <c r="Q20" s="25">
        <f>350+C20*50+300+C20*30</f>
        <v/>
      </c>
      <c r="R20" s="25">
        <f>O20+N20+P20+Q20</f>
        <v/>
      </c>
      <c r="S20" s="23">
        <f>C20*Cities!F20*Cities!G20</f>
        <v/>
      </c>
      <c r="T20" s="23">
        <f>INT(S20*Cities!O20)</f>
        <v/>
      </c>
      <c r="U20" s="23">
        <f>INT(S20*Cities!P20)</f>
        <v/>
      </c>
      <c r="V20" s="23">
        <f>CEILING(R20/(Cities!H20*(1-Cities!I20)),1)</f>
        <v/>
      </c>
      <c r="W20" s="26">
        <f>Cities!H20*Cities!I20</f>
        <v/>
      </c>
      <c r="X20" s="26">
        <f>Cities!H20-W20</f>
        <v/>
      </c>
      <c r="Y20" s="25">
        <f>(U20*Cities!H20*(1-Cities!I20)-R20)*(1-I20)</f>
        <v/>
      </c>
      <c r="Z20" s="25">
        <f>FLOOR((Cities!K20+Cities!L20+Cities!M20+Cities!J20*Cities!N20)*0.92,5000)</f>
        <v/>
      </c>
      <c r="AA20" s="25">
        <f>CEILING((Cities!K20+Cities!L20+Cities!M20+Cities!J20*Cities!N20)*1.08,5000)</f>
        <v/>
      </c>
      <c r="AB20" s="25">
        <f>(Z20+AA20)/2</f>
        <v/>
      </c>
      <c r="AC20" s="23">
        <f>IF(Y20&gt;0,CEILING(AB20/Y20,1),999)</f>
        <v/>
      </c>
      <c r="AD20" s="27">
        <f>IF(R20&gt;0,Y20/R20,0)</f>
        <v/>
      </c>
      <c r="AE20" s="28">
        <f>IF(V20&lt;S20*0.8,"✓ YES","⚠ TIGHT")</f>
        <v/>
      </c>
    </row>
    <row r="21">
      <c r="A21" s="15">
        <f>Cities!A21</f>
        <v/>
      </c>
      <c r="B21" s="9">
        <f>Cities!D21</f>
        <v/>
      </c>
      <c r="C21" s="23">
        <f>IF(Cities!E21&lt;=750,3,IF(Cities!E21&lt;=850,4,5))</f>
        <v/>
      </c>
      <c r="D21" s="23">
        <f>IF(C21&lt;=4,2,3)</f>
        <v/>
      </c>
      <c r="E21" s="23">
        <f>IF(C21&lt;=4,2,3)</f>
        <v/>
      </c>
      <c r="F21" s="23">
        <f>C21-E21</f>
        <v/>
      </c>
      <c r="G21" s="23">
        <f>CEILING(C21/2,1)</f>
        <v/>
      </c>
      <c r="H21" s="23">
        <f>E21+F21+G21+1</f>
        <v/>
      </c>
      <c r="I21" s="24">
        <f>VLOOKUP(Cities!D21,Country!$A$4:$H$14,3,FALSE)</f>
        <v/>
      </c>
      <c r="J21" s="25">
        <f>VLOOKUP(Cities!D21,Country!$A$4:$H$14,5,FALSE)</f>
        <v/>
      </c>
      <c r="K21" s="25">
        <f>VLOOKUP(Cities!D21,Country!$A$4:$H$14,6,FALSE)</f>
        <v/>
      </c>
      <c r="L21" s="25">
        <f>VLOOKUP(Cities!D21,Country!$A$4:$H$14,7,FALSE)</f>
        <v/>
      </c>
      <c r="M21" s="25">
        <f>VLOOKUP(Cities!D21,Country!$A$4:$H$14,8,FALSE)</f>
        <v/>
      </c>
      <c r="N21" s="25">
        <f>E21*J21+F21*K21+G21*L21+M21</f>
        <v/>
      </c>
      <c r="O21" s="25">
        <f>Cities!J21</f>
        <v/>
      </c>
      <c r="P21" s="25">
        <f>200+C21*80</f>
        <v/>
      </c>
      <c r="Q21" s="25">
        <f>350+C21*50+300+C21*30</f>
        <v/>
      </c>
      <c r="R21" s="25">
        <f>O21+N21+P21+Q21</f>
        <v/>
      </c>
      <c r="S21" s="23">
        <f>C21*Cities!F21*Cities!G21</f>
        <v/>
      </c>
      <c r="T21" s="23">
        <f>INT(S21*Cities!O21)</f>
        <v/>
      </c>
      <c r="U21" s="23">
        <f>INT(S21*Cities!P21)</f>
        <v/>
      </c>
      <c r="V21" s="23">
        <f>CEILING(R21/(Cities!H21*(1-Cities!I21)),1)</f>
        <v/>
      </c>
      <c r="W21" s="26">
        <f>Cities!H21*Cities!I21</f>
        <v/>
      </c>
      <c r="X21" s="26">
        <f>Cities!H21-W21</f>
        <v/>
      </c>
      <c r="Y21" s="25">
        <f>(U21*Cities!H21*(1-Cities!I21)-R21)*(1-I21)</f>
        <v/>
      </c>
      <c r="Z21" s="25">
        <f>FLOOR((Cities!K21+Cities!L21+Cities!M21+Cities!J21*Cities!N21)*0.92,5000)</f>
        <v/>
      </c>
      <c r="AA21" s="25">
        <f>CEILING((Cities!K21+Cities!L21+Cities!M21+Cities!J21*Cities!N21)*1.08,5000)</f>
        <v/>
      </c>
      <c r="AB21" s="25">
        <f>(Z21+AA21)/2</f>
        <v/>
      </c>
      <c r="AC21" s="23">
        <f>IF(Y21&gt;0,CEILING(AB21/Y21,1),999)</f>
        <v/>
      </c>
      <c r="AD21" s="27">
        <f>IF(R21&gt;0,Y21/R21,0)</f>
        <v/>
      </c>
      <c r="AE21" s="28">
        <f>IF(V21&lt;S21*0.8,"✓ YES","⚠ TIGHT")</f>
        <v/>
      </c>
    </row>
    <row r="22">
      <c r="A22" s="15">
        <f>Cities!A22</f>
        <v/>
      </c>
      <c r="B22" s="9">
        <f>Cities!D22</f>
        <v/>
      </c>
      <c r="C22" s="23">
        <f>IF(Cities!E22&lt;=750,3,IF(Cities!E22&lt;=850,4,5))</f>
        <v/>
      </c>
      <c r="D22" s="23">
        <f>IF(C22&lt;=4,2,3)</f>
        <v/>
      </c>
      <c r="E22" s="23">
        <f>IF(C22&lt;=4,2,3)</f>
        <v/>
      </c>
      <c r="F22" s="23">
        <f>C22-E22</f>
        <v/>
      </c>
      <c r="G22" s="23">
        <f>CEILING(C22/2,1)</f>
        <v/>
      </c>
      <c r="H22" s="23">
        <f>E22+F22+G22+1</f>
        <v/>
      </c>
      <c r="I22" s="24">
        <f>VLOOKUP(Cities!D22,Country!$A$4:$H$14,3,FALSE)</f>
        <v/>
      </c>
      <c r="J22" s="25">
        <f>VLOOKUP(Cities!D22,Country!$A$4:$H$14,5,FALSE)</f>
        <v/>
      </c>
      <c r="K22" s="25">
        <f>VLOOKUP(Cities!D22,Country!$A$4:$H$14,6,FALSE)</f>
        <v/>
      </c>
      <c r="L22" s="25">
        <f>VLOOKUP(Cities!D22,Country!$A$4:$H$14,7,FALSE)</f>
        <v/>
      </c>
      <c r="M22" s="25">
        <f>VLOOKUP(Cities!D22,Country!$A$4:$H$14,8,FALSE)</f>
        <v/>
      </c>
      <c r="N22" s="25">
        <f>E22*J22+F22*K22+G22*L22+M22</f>
        <v/>
      </c>
      <c r="O22" s="25">
        <f>Cities!J22</f>
        <v/>
      </c>
      <c r="P22" s="25">
        <f>200+C22*80</f>
        <v/>
      </c>
      <c r="Q22" s="25">
        <f>350+C22*50+300+C22*30</f>
        <v/>
      </c>
      <c r="R22" s="25">
        <f>O22+N22+P22+Q22</f>
        <v/>
      </c>
      <c r="S22" s="23">
        <f>C22*Cities!F22*Cities!G22</f>
        <v/>
      </c>
      <c r="T22" s="23">
        <f>INT(S22*Cities!O22)</f>
        <v/>
      </c>
      <c r="U22" s="23">
        <f>INT(S22*Cities!P22)</f>
        <v/>
      </c>
      <c r="V22" s="23">
        <f>CEILING(R22/(Cities!H22*(1-Cities!I22)),1)</f>
        <v/>
      </c>
      <c r="W22" s="26">
        <f>Cities!H22*Cities!I22</f>
        <v/>
      </c>
      <c r="X22" s="26">
        <f>Cities!H22-W22</f>
        <v/>
      </c>
      <c r="Y22" s="25">
        <f>(U22*Cities!H22*(1-Cities!I22)-R22)*(1-I22)</f>
        <v/>
      </c>
      <c r="Z22" s="25">
        <f>FLOOR((Cities!K22+Cities!L22+Cities!M22+Cities!J22*Cities!N22)*0.92,5000)</f>
        <v/>
      </c>
      <c r="AA22" s="25">
        <f>CEILING((Cities!K22+Cities!L22+Cities!M22+Cities!J22*Cities!N22)*1.08,5000)</f>
        <v/>
      </c>
      <c r="AB22" s="25">
        <f>(Z22+AA22)/2</f>
        <v/>
      </c>
      <c r="AC22" s="23">
        <f>IF(Y22&gt;0,CEILING(AB22/Y22,1),999)</f>
        <v/>
      </c>
      <c r="AD22" s="27">
        <f>IF(R22&gt;0,Y22/R22,0)</f>
        <v/>
      </c>
      <c r="AE22" s="28">
        <f>IF(V22&lt;S22*0.8,"✓ YES","⚠ TIGHT")</f>
        <v/>
      </c>
    </row>
    <row r="23">
      <c r="A23" s="15">
        <f>Cities!A23</f>
        <v/>
      </c>
      <c r="B23" s="9">
        <f>Cities!D23</f>
        <v/>
      </c>
      <c r="C23" s="23">
        <f>IF(Cities!E23&lt;=750,3,IF(Cities!E23&lt;=850,4,5))</f>
        <v/>
      </c>
      <c r="D23" s="23">
        <f>IF(C23&lt;=4,2,3)</f>
        <v/>
      </c>
      <c r="E23" s="23">
        <f>IF(C23&lt;=4,2,3)</f>
        <v/>
      </c>
      <c r="F23" s="23">
        <f>C23-E23</f>
        <v/>
      </c>
      <c r="G23" s="23">
        <f>CEILING(C23/2,1)</f>
        <v/>
      </c>
      <c r="H23" s="23">
        <f>E23+F23+G23+1</f>
        <v/>
      </c>
      <c r="I23" s="24">
        <f>VLOOKUP(Cities!D23,Country!$A$4:$H$14,3,FALSE)</f>
        <v/>
      </c>
      <c r="J23" s="25">
        <f>VLOOKUP(Cities!D23,Country!$A$4:$H$14,5,FALSE)</f>
        <v/>
      </c>
      <c r="K23" s="25">
        <f>VLOOKUP(Cities!D23,Country!$A$4:$H$14,6,FALSE)</f>
        <v/>
      </c>
      <c r="L23" s="25">
        <f>VLOOKUP(Cities!D23,Country!$A$4:$H$14,7,FALSE)</f>
        <v/>
      </c>
      <c r="M23" s="25">
        <f>VLOOKUP(Cities!D23,Country!$A$4:$H$14,8,FALSE)</f>
        <v/>
      </c>
      <c r="N23" s="25">
        <f>E23*J23+F23*K23+G23*L23+M23</f>
        <v/>
      </c>
      <c r="O23" s="25">
        <f>Cities!J23</f>
        <v/>
      </c>
      <c r="P23" s="25">
        <f>200+C23*80</f>
        <v/>
      </c>
      <c r="Q23" s="25">
        <f>350+C23*50+300+C23*30</f>
        <v/>
      </c>
      <c r="R23" s="25">
        <f>O23+N23+P23+Q23</f>
        <v/>
      </c>
      <c r="S23" s="23">
        <f>C23*Cities!F23*Cities!G23</f>
        <v/>
      </c>
      <c r="T23" s="23">
        <f>INT(S23*Cities!O23)</f>
        <v/>
      </c>
      <c r="U23" s="23">
        <f>INT(S23*Cities!P23)</f>
        <v/>
      </c>
      <c r="V23" s="23">
        <f>CEILING(R23/(Cities!H23*(1-Cities!I23)),1)</f>
        <v/>
      </c>
      <c r="W23" s="26">
        <f>Cities!H23*Cities!I23</f>
        <v/>
      </c>
      <c r="X23" s="26">
        <f>Cities!H23-W23</f>
        <v/>
      </c>
      <c r="Y23" s="25">
        <f>(U23*Cities!H23*(1-Cities!I23)-R23)*(1-I23)</f>
        <v/>
      </c>
      <c r="Z23" s="25">
        <f>FLOOR((Cities!K23+Cities!L23+Cities!M23+Cities!J23*Cities!N23)*0.92,5000)</f>
        <v/>
      </c>
      <c r="AA23" s="25">
        <f>CEILING((Cities!K23+Cities!L23+Cities!M23+Cities!J23*Cities!N23)*1.08,5000)</f>
        <v/>
      </c>
      <c r="AB23" s="25">
        <f>(Z23+AA23)/2</f>
        <v/>
      </c>
      <c r="AC23" s="23">
        <f>IF(Y23&gt;0,CEILING(AB23/Y23,1),999)</f>
        <v/>
      </c>
      <c r="AD23" s="27">
        <f>IF(R23&gt;0,Y23/R23,0)</f>
        <v/>
      </c>
      <c r="AE23" s="28">
        <f>IF(V23&lt;S23*0.8,"✓ YES","⚠ TIGHT")</f>
        <v/>
      </c>
    </row>
    <row r="24">
      <c r="A24" s="15">
        <f>Cities!A24</f>
        <v/>
      </c>
      <c r="B24" s="9">
        <f>Cities!D24</f>
        <v/>
      </c>
      <c r="C24" s="23">
        <f>IF(Cities!E24&lt;=750,3,IF(Cities!E24&lt;=850,4,5))</f>
        <v/>
      </c>
      <c r="D24" s="23">
        <f>IF(C24&lt;=4,2,3)</f>
        <v/>
      </c>
      <c r="E24" s="23">
        <f>IF(C24&lt;=4,2,3)</f>
        <v/>
      </c>
      <c r="F24" s="23">
        <f>C24-E24</f>
        <v/>
      </c>
      <c r="G24" s="23">
        <f>CEILING(C24/2,1)</f>
        <v/>
      </c>
      <c r="H24" s="23">
        <f>E24+F24+G24+1</f>
        <v/>
      </c>
      <c r="I24" s="24">
        <f>VLOOKUP(Cities!D24,Country!$A$4:$H$14,3,FALSE)</f>
        <v/>
      </c>
      <c r="J24" s="25">
        <f>VLOOKUP(Cities!D24,Country!$A$4:$H$14,5,FALSE)</f>
        <v/>
      </c>
      <c r="K24" s="25">
        <f>VLOOKUP(Cities!D24,Country!$A$4:$H$14,6,FALSE)</f>
        <v/>
      </c>
      <c r="L24" s="25">
        <f>VLOOKUP(Cities!D24,Country!$A$4:$H$14,7,FALSE)</f>
        <v/>
      </c>
      <c r="M24" s="25">
        <f>VLOOKUP(Cities!D24,Country!$A$4:$H$14,8,FALSE)</f>
        <v/>
      </c>
      <c r="N24" s="25">
        <f>E24*J24+F24*K24+G24*L24+M24</f>
        <v/>
      </c>
      <c r="O24" s="25">
        <f>Cities!J24</f>
        <v/>
      </c>
      <c r="P24" s="25">
        <f>200+C24*80</f>
        <v/>
      </c>
      <c r="Q24" s="25">
        <f>350+C24*50+300+C24*30</f>
        <v/>
      </c>
      <c r="R24" s="25">
        <f>O24+N24+P24+Q24</f>
        <v/>
      </c>
      <c r="S24" s="23">
        <f>C24*Cities!F24*Cities!G24</f>
        <v/>
      </c>
      <c r="T24" s="23">
        <f>INT(S24*Cities!O24)</f>
        <v/>
      </c>
      <c r="U24" s="23">
        <f>INT(S24*Cities!P24)</f>
        <v/>
      </c>
      <c r="V24" s="23">
        <f>CEILING(R24/(Cities!H24*(1-Cities!I24)),1)</f>
        <v/>
      </c>
      <c r="W24" s="26">
        <f>Cities!H24*Cities!I24</f>
        <v/>
      </c>
      <c r="X24" s="26">
        <f>Cities!H24-W24</f>
        <v/>
      </c>
      <c r="Y24" s="25">
        <f>(U24*Cities!H24*(1-Cities!I24)-R24)*(1-I24)</f>
        <v/>
      </c>
      <c r="Z24" s="25">
        <f>FLOOR((Cities!K24+Cities!L24+Cities!M24+Cities!J24*Cities!N24)*0.92,5000)</f>
        <v/>
      </c>
      <c r="AA24" s="25">
        <f>CEILING((Cities!K24+Cities!L24+Cities!M24+Cities!J24*Cities!N24)*1.08,5000)</f>
        <v/>
      </c>
      <c r="AB24" s="25">
        <f>(Z24+AA24)/2</f>
        <v/>
      </c>
      <c r="AC24" s="23">
        <f>IF(Y24&gt;0,CEILING(AB24/Y24,1),999)</f>
        <v/>
      </c>
      <c r="AD24" s="27">
        <f>IF(R24&gt;0,Y24/R24,0)</f>
        <v/>
      </c>
      <c r="AE24" s="28">
        <f>IF(V24&lt;S24*0.8,"✓ YES","⚠ TIGHT")</f>
        <v/>
      </c>
    </row>
    <row r="25">
      <c r="A25" s="15">
        <f>Cities!A25</f>
        <v/>
      </c>
      <c r="B25" s="9">
        <f>Cities!D25</f>
        <v/>
      </c>
      <c r="C25" s="23">
        <f>IF(Cities!E25&lt;=750,3,IF(Cities!E25&lt;=850,4,5))</f>
        <v/>
      </c>
      <c r="D25" s="23">
        <f>IF(C25&lt;=4,2,3)</f>
        <v/>
      </c>
      <c r="E25" s="23">
        <f>IF(C25&lt;=4,2,3)</f>
        <v/>
      </c>
      <c r="F25" s="23">
        <f>C25-E25</f>
        <v/>
      </c>
      <c r="G25" s="23">
        <f>CEILING(C25/2,1)</f>
        <v/>
      </c>
      <c r="H25" s="23">
        <f>E25+F25+G25+1</f>
        <v/>
      </c>
      <c r="I25" s="24">
        <f>VLOOKUP(Cities!D25,Country!$A$4:$H$14,3,FALSE)</f>
        <v/>
      </c>
      <c r="J25" s="25">
        <f>VLOOKUP(Cities!D25,Country!$A$4:$H$14,5,FALSE)</f>
        <v/>
      </c>
      <c r="K25" s="25">
        <f>VLOOKUP(Cities!D25,Country!$A$4:$H$14,6,FALSE)</f>
        <v/>
      </c>
      <c r="L25" s="25">
        <f>VLOOKUP(Cities!D25,Country!$A$4:$H$14,7,FALSE)</f>
        <v/>
      </c>
      <c r="M25" s="25">
        <f>VLOOKUP(Cities!D25,Country!$A$4:$H$14,8,FALSE)</f>
        <v/>
      </c>
      <c r="N25" s="25">
        <f>E25*J25+F25*K25+G25*L25+M25</f>
        <v/>
      </c>
      <c r="O25" s="25">
        <f>Cities!J25</f>
        <v/>
      </c>
      <c r="P25" s="25">
        <f>200+C25*80</f>
        <v/>
      </c>
      <c r="Q25" s="25">
        <f>350+C25*50+300+C25*30</f>
        <v/>
      </c>
      <c r="R25" s="25">
        <f>O25+N25+P25+Q25</f>
        <v/>
      </c>
      <c r="S25" s="23">
        <f>C25*Cities!F25*Cities!G25</f>
        <v/>
      </c>
      <c r="T25" s="23">
        <f>INT(S25*Cities!O25)</f>
        <v/>
      </c>
      <c r="U25" s="23">
        <f>INT(S25*Cities!P25)</f>
        <v/>
      </c>
      <c r="V25" s="23">
        <f>CEILING(R25/(Cities!H25*(1-Cities!I25)),1)</f>
        <v/>
      </c>
      <c r="W25" s="26">
        <f>Cities!H25*Cities!I25</f>
        <v/>
      </c>
      <c r="X25" s="26">
        <f>Cities!H25-W25</f>
        <v/>
      </c>
      <c r="Y25" s="25">
        <f>(U25*Cities!H25*(1-Cities!I25)-R25)*(1-I25)</f>
        <v/>
      </c>
      <c r="Z25" s="25">
        <f>FLOOR((Cities!K25+Cities!L25+Cities!M25+Cities!J25*Cities!N25)*0.92,5000)</f>
        <v/>
      </c>
      <c r="AA25" s="25">
        <f>CEILING((Cities!K25+Cities!L25+Cities!M25+Cities!J25*Cities!N25)*1.08,5000)</f>
        <v/>
      </c>
      <c r="AB25" s="25">
        <f>(Z25+AA25)/2</f>
        <v/>
      </c>
      <c r="AC25" s="23">
        <f>IF(Y25&gt;0,CEILING(AB25/Y25,1),999)</f>
        <v/>
      </c>
      <c r="AD25" s="27">
        <f>IF(R25&gt;0,Y25/R25,0)</f>
        <v/>
      </c>
      <c r="AE25" s="28">
        <f>IF(V25&lt;S25*0.8,"✓ YES","⚠ TIGHT")</f>
        <v/>
      </c>
    </row>
    <row r="26">
      <c r="A26" s="15">
        <f>Cities!A26</f>
        <v/>
      </c>
      <c r="B26" s="9">
        <f>Cities!D26</f>
        <v/>
      </c>
      <c r="C26" s="23">
        <f>IF(Cities!E26&lt;=750,3,IF(Cities!E26&lt;=850,4,5))</f>
        <v/>
      </c>
      <c r="D26" s="23">
        <f>IF(C26&lt;=4,2,3)</f>
        <v/>
      </c>
      <c r="E26" s="23">
        <f>IF(C26&lt;=4,2,3)</f>
        <v/>
      </c>
      <c r="F26" s="23">
        <f>C26-E26</f>
        <v/>
      </c>
      <c r="G26" s="23">
        <f>CEILING(C26/2,1)</f>
        <v/>
      </c>
      <c r="H26" s="23">
        <f>E26+F26+G26+1</f>
        <v/>
      </c>
      <c r="I26" s="24">
        <f>VLOOKUP(Cities!D26,Country!$A$4:$H$14,3,FALSE)</f>
        <v/>
      </c>
      <c r="J26" s="25">
        <f>VLOOKUP(Cities!D26,Country!$A$4:$H$14,5,FALSE)</f>
        <v/>
      </c>
      <c r="K26" s="25">
        <f>VLOOKUP(Cities!D26,Country!$A$4:$H$14,6,FALSE)</f>
        <v/>
      </c>
      <c r="L26" s="25">
        <f>VLOOKUP(Cities!D26,Country!$A$4:$H$14,7,FALSE)</f>
        <v/>
      </c>
      <c r="M26" s="25">
        <f>VLOOKUP(Cities!D26,Country!$A$4:$H$14,8,FALSE)</f>
        <v/>
      </c>
      <c r="N26" s="25">
        <f>E26*J26+F26*K26+G26*L26+M26</f>
        <v/>
      </c>
      <c r="O26" s="25">
        <f>Cities!J26</f>
        <v/>
      </c>
      <c r="P26" s="25">
        <f>200+C26*80</f>
        <v/>
      </c>
      <c r="Q26" s="25">
        <f>350+C26*50+300+C26*30</f>
        <v/>
      </c>
      <c r="R26" s="25">
        <f>O26+N26+P26+Q26</f>
        <v/>
      </c>
      <c r="S26" s="23">
        <f>C26*Cities!F26*Cities!G26</f>
        <v/>
      </c>
      <c r="T26" s="23">
        <f>INT(S26*Cities!O26)</f>
        <v/>
      </c>
      <c r="U26" s="23">
        <f>INT(S26*Cities!P26)</f>
        <v/>
      </c>
      <c r="V26" s="23">
        <f>CEILING(R26/(Cities!H26*(1-Cities!I26)),1)</f>
        <v/>
      </c>
      <c r="W26" s="26">
        <f>Cities!H26*Cities!I26</f>
        <v/>
      </c>
      <c r="X26" s="26">
        <f>Cities!H26-W26</f>
        <v/>
      </c>
      <c r="Y26" s="25">
        <f>(U26*Cities!H26*(1-Cities!I26)-R26)*(1-I26)</f>
        <v/>
      </c>
      <c r="Z26" s="25">
        <f>FLOOR((Cities!K26+Cities!L26+Cities!M26+Cities!J26*Cities!N26)*0.92,5000)</f>
        <v/>
      </c>
      <c r="AA26" s="25">
        <f>CEILING((Cities!K26+Cities!L26+Cities!M26+Cities!J26*Cities!N26)*1.08,5000)</f>
        <v/>
      </c>
      <c r="AB26" s="25">
        <f>(Z26+AA26)/2</f>
        <v/>
      </c>
      <c r="AC26" s="23">
        <f>IF(Y26&gt;0,CEILING(AB26/Y26,1),999)</f>
        <v/>
      </c>
      <c r="AD26" s="27">
        <f>IF(R26&gt;0,Y26/R26,0)</f>
        <v/>
      </c>
      <c r="AE26" s="28">
        <f>IF(V26&lt;S26*0.8,"✓ YES","⚠ TIGHT")</f>
        <v/>
      </c>
    </row>
    <row r="27">
      <c r="A27" s="15">
        <f>Cities!A27</f>
        <v/>
      </c>
      <c r="B27" s="9">
        <f>Cities!D27</f>
        <v/>
      </c>
      <c r="C27" s="23">
        <f>IF(Cities!E27&lt;=750,3,IF(Cities!E27&lt;=850,4,5))</f>
        <v/>
      </c>
      <c r="D27" s="23">
        <f>IF(C27&lt;=4,2,3)</f>
        <v/>
      </c>
      <c r="E27" s="23">
        <f>IF(C27&lt;=4,2,3)</f>
        <v/>
      </c>
      <c r="F27" s="23">
        <f>C27-E27</f>
        <v/>
      </c>
      <c r="G27" s="23">
        <f>CEILING(C27/2,1)</f>
        <v/>
      </c>
      <c r="H27" s="23">
        <f>E27+F27+G27+1</f>
        <v/>
      </c>
      <c r="I27" s="24">
        <f>VLOOKUP(Cities!D27,Country!$A$4:$H$14,3,FALSE)</f>
        <v/>
      </c>
      <c r="J27" s="25">
        <f>VLOOKUP(Cities!D27,Country!$A$4:$H$14,5,FALSE)</f>
        <v/>
      </c>
      <c r="K27" s="25">
        <f>VLOOKUP(Cities!D27,Country!$A$4:$H$14,6,FALSE)</f>
        <v/>
      </c>
      <c r="L27" s="25">
        <f>VLOOKUP(Cities!D27,Country!$A$4:$H$14,7,FALSE)</f>
        <v/>
      </c>
      <c r="M27" s="25">
        <f>VLOOKUP(Cities!D27,Country!$A$4:$H$14,8,FALSE)</f>
        <v/>
      </c>
      <c r="N27" s="25">
        <f>E27*J27+F27*K27+G27*L27+M27</f>
        <v/>
      </c>
      <c r="O27" s="25">
        <f>Cities!J27</f>
        <v/>
      </c>
      <c r="P27" s="25">
        <f>200+C27*80</f>
        <v/>
      </c>
      <c r="Q27" s="25">
        <f>350+C27*50+300+C27*30</f>
        <v/>
      </c>
      <c r="R27" s="25">
        <f>O27+N27+P27+Q27</f>
        <v/>
      </c>
      <c r="S27" s="23">
        <f>C27*Cities!F27*Cities!G27</f>
        <v/>
      </c>
      <c r="T27" s="23">
        <f>INT(S27*Cities!O27)</f>
        <v/>
      </c>
      <c r="U27" s="23">
        <f>INT(S27*Cities!P27)</f>
        <v/>
      </c>
      <c r="V27" s="23">
        <f>CEILING(R27/(Cities!H27*(1-Cities!I27)),1)</f>
        <v/>
      </c>
      <c r="W27" s="26">
        <f>Cities!H27*Cities!I27</f>
        <v/>
      </c>
      <c r="X27" s="26">
        <f>Cities!H27-W27</f>
        <v/>
      </c>
      <c r="Y27" s="25">
        <f>(U27*Cities!H27*(1-Cities!I27)-R27)*(1-I27)</f>
        <v/>
      </c>
      <c r="Z27" s="25">
        <f>FLOOR((Cities!K27+Cities!L27+Cities!M27+Cities!J27*Cities!N27)*0.92,5000)</f>
        <v/>
      </c>
      <c r="AA27" s="25">
        <f>CEILING((Cities!K27+Cities!L27+Cities!M27+Cities!J27*Cities!N27)*1.08,5000)</f>
        <v/>
      </c>
      <c r="AB27" s="25">
        <f>(Z27+AA27)/2</f>
        <v/>
      </c>
      <c r="AC27" s="23">
        <f>IF(Y27&gt;0,CEILING(AB27/Y27,1),999)</f>
        <v/>
      </c>
      <c r="AD27" s="27">
        <f>IF(R27&gt;0,Y27/R27,0)</f>
        <v/>
      </c>
      <c r="AE27" s="28">
        <f>IF(V27&lt;S27*0.8,"✓ YES","⚠ TIGHT")</f>
        <v/>
      </c>
    </row>
    <row r="28">
      <c r="A28" s="15">
        <f>Cities!A28</f>
        <v/>
      </c>
      <c r="B28" s="9">
        <f>Cities!D28</f>
        <v/>
      </c>
      <c r="C28" s="23">
        <f>IF(Cities!E28&lt;=750,3,IF(Cities!E28&lt;=850,4,5))</f>
        <v/>
      </c>
      <c r="D28" s="23">
        <f>IF(C28&lt;=4,2,3)</f>
        <v/>
      </c>
      <c r="E28" s="23">
        <f>IF(C28&lt;=4,2,3)</f>
        <v/>
      </c>
      <c r="F28" s="23">
        <f>C28-E28</f>
        <v/>
      </c>
      <c r="G28" s="23">
        <f>CEILING(C28/2,1)</f>
        <v/>
      </c>
      <c r="H28" s="23">
        <f>E28+F28+G28+1</f>
        <v/>
      </c>
      <c r="I28" s="24">
        <f>VLOOKUP(Cities!D28,Country!$A$4:$H$14,3,FALSE)</f>
        <v/>
      </c>
      <c r="J28" s="25">
        <f>VLOOKUP(Cities!D28,Country!$A$4:$H$14,5,FALSE)</f>
        <v/>
      </c>
      <c r="K28" s="25">
        <f>VLOOKUP(Cities!D28,Country!$A$4:$H$14,6,FALSE)</f>
        <v/>
      </c>
      <c r="L28" s="25">
        <f>VLOOKUP(Cities!D28,Country!$A$4:$H$14,7,FALSE)</f>
        <v/>
      </c>
      <c r="M28" s="25">
        <f>VLOOKUP(Cities!D28,Country!$A$4:$H$14,8,FALSE)</f>
        <v/>
      </c>
      <c r="N28" s="25">
        <f>E28*J28+F28*K28+G28*L28+M28</f>
        <v/>
      </c>
      <c r="O28" s="25">
        <f>Cities!J28</f>
        <v/>
      </c>
      <c r="P28" s="25">
        <f>200+C28*80</f>
        <v/>
      </c>
      <c r="Q28" s="25">
        <f>350+C28*50+300+C28*30</f>
        <v/>
      </c>
      <c r="R28" s="25">
        <f>O28+N28+P28+Q28</f>
        <v/>
      </c>
      <c r="S28" s="23">
        <f>C28*Cities!F28*Cities!G28</f>
        <v/>
      </c>
      <c r="T28" s="23">
        <f>INT(S28*Cities!O28)</f>
        <v/>
      </c>
      <c r="U28" s="23">
        <f>INT(S28*Cities!P28)</f>
        <v/>
      </c>
      <c r="V28" s="23">
        <f>CEILING(R28/(Cities!H28*(1-Cities!I28)),1)</f>
        <v/>
      </c>
      <c r="W28" s="26">
        <f>Cities!H28*Cities!I28</f>
        <v/>
      </c>
      <c r="X28" s="26">
        <f>Cities!H28-W28</f>
        <v/>
      </c>
      <c r="Y28" s="25">
        <f>(U28*Cities!H28*(1-Cities!I28)-R28)*(1-I28)</f>
        <v/>
      </c>
      <c r="Z28" s="25">
        <f>FLOOR((Cities!K28+Cities!L28+Cities!M28+Cities!J28*Cities!N28)*0.92,5000)</f>
        <v/>
      </c>
      <c r="AA28" s="25">
        <f>CEILING((Cities!K28+Cities!L28+Cities!M28+Cities!J28*Cities!N28)*1.08,5000)</f>
        <v/>
      </c>
      <c r="AB28" s="25">
        <f>(Z28+AA28)/2</f>
        <v/>
      </c>
      <c r="AC28" s="23">
        <f>IF(Y28&gt;0,CEILING(AB28/Y28,1),999)</f>
        <v/>
      </c>
      <c r="AD28" s="27">
        <f>IF(R28&gt;0,Y28/R28,0)</f>
        <v/>
      </c>
      <c r="AE28" s="28">
        <f>IF(V28&lt;S28*0.8,"✓ YES","⚠ TIGHT")</f>
        <v/>
      </c>
    </row>
    <row r="29">
      <c r="A29" s="15">
        <f>Cities!A29</f>
        <v/>
      </c>
      <c r="B29" s="9">
        <f>Cities!D29</f>
        <v/>
      </c>
      <c r="C29" s="23">
        <f>IF(Cities!E29&lt;=750,3,IF(Cities!E29&lt;=850,4,5))</f>
        <v/>
      </c>
      <c r="D29" s="23">
        <f>IF(C29&lt;=4,2,3)</f>
        <v/>
      </c>
      <c r="E29" s="23">
        <f>IF(C29&lt;=4,2,3)</f>
        <v/>
      </c>
      <c r="F29" s="23">
        <f>C29-E29</f>
        <v/>
      </c>
      <c r="G29" s="23">
        <f>CEILING(C29/2,1)</f>
        <v/>
      </c>
      <c r="H29" s="23">
        <f>E29+F29+G29+1</f>
        <v/>
      </c>
      <c r="I29" s="24">
        <f>VLOOKUP(Cities!D29,Country!$A$4:$H$14,3,FALSE)</f>
        <v/>
      </c>
      <c r="J29" s="25">
        <f>VLOOKUP(Cities!D29,Country!$A$4:$H$14,5,FALSE)</f>
        <v/>
      </c>
      <c r="K29" s="25">
        <f>VLOOKUP(Cities!D29,Country!$A$4:$H$14,6,FALSE)</f>
        <v/>
      </c>
      <c r="L29" s="25">
        <f>VLOOKUP(Cities!D29,Country!$A$4:$H$14,7,FALSE)</f>
        <v/>
      </c>
      <c r="M29" s="25">
        <f>VLOOKUP(Cities!D29,Country!$A$4:$H$14,8,FALSE)</f>
        <v/>
      </c>
      <c r="N29" s="25">
        <f>E29*J29+F29*K29+G29*L29+M29</f>
        <v/>
      </c>
      <c r="O29" s="25">
        <f>Cities!J29</f>
        <v/>
      </c>
      <c r="P29" s="25">
        <f>200+C29*80</f>
        <v/>
      </c>
      <c r="Q29" s="25">
        <f>350+C29*50+300+C29*30</f>
        <v/>
      </c>
      <c r="R29" s="25">
        <f>O29+N29+P29+Q29</f>
        <v/>
      </c>
      <c r="S29" s="23">
        <f>C29*Cities!F29*Cities!G29</f>
        <v/>
      </c>
      <c r="T29" s="23">
        <f>INT(S29*Cities!O29)</f>
        <v/>
      </c>
      <c r="U29" s="23">
        <f>INT(S29*Cities!P29)</f>
        <v/>
      </c>
      <c r="V29" s="23">
        <f>CEILING(R29/(Cities!H29*(1-Cities!I29)),1)</f>
        <v/>
      </c>
      <c r="W29" s="26">
        <f>Cities!H29*Cities!I29</f>
        <v/>
      </c>
      <c r="X29" s="26">
        <f>Cities!H29-W29</f>
        <v/>
      </c>
      <c r="Y29" s="25">
        <f>(U29*Cities!H29*(1-Cities!I29)-R29)*(1-I29)</f>
        <v/>
      </c>
      <c r="Z29" s="25">
        <f>FLOOR((Cities!K29+Cities!L29+Cities!M29+Cities!J29*Cities!N29)*0.92,5000)</f>
        <v/>
      </c>
      <c r="AA29" s="25">
        <f>CEILING((Cities!K29+Cities!L29+Cities!M29+Cities!J29*Cities!N29)*1.08,5000)</f>
        <v/>
      </c>
      <c r="AB29" s="25">
        <f>(Z29+AA29)/2</f>
        <v/>
      </c>
      <c r="AC29" s="23">
        <f>IF(Y29&gt;0,CEILING(AB29/Y29,1),999)</f>
        <v/>
      </c>
      <c r="AD29" s="27">
        <f>IF(R29&gt;0,Y29/R29,0)</f>
        <v/>
      </c>
      <c r="AE29" s="28">
        <f>IF(V29&lt;S29*0.8,"✓ YES","⚠ TIGHT")</f>
        <v/>
      </c>
    </row>
    <row r="30">
      <c r="A30" s="15">
        <f>Cities!A30</f>
        <v/>
      </c>
      <c r="B30" s="9">
        <f>Cities!D30</f>
        <v/>
      </c>
      <c r="C30" s="23">
        <f>IF(Cities!E30&lt;=750,3,IF(Cities!E30&lt;=850,4,5))</f>
        <v/>
      </c>
      <c r="D30" s="23">
        <f>IF(C30&lt;=4,2,3)</f>
        <v/>
      </c>
      <c r="E30" s="23">
        <f>IF(C30&lt;=4,2,3)</f>
        <v/>
      </c>
      <c r="F30" s="23">
        <f>C30-E30</f>
        <v/>
      </c>
      <c r="G30" s="23">
        <f>CEILING(C30/2,1)</f>
        <v/>
      </c>
      <c r="H30" s="23">
        <f>E30+F30+G30+1</f>
        <v/>
      </c>
      <c r="I30" s="24">
        <f>VLOOKUP(Cities!D30,Country!$A$4:$H$14,3,FALSE)</f>
        <v/>
      </c>
      <c r="J30" s="25">
        <f>VLOOKUP(Cities!D30,Country!$A$4:$H$14,5,FALSE)</f>
        <v/>
      </c>
      <c r="K30" s="25">
        <f>VLOOKUP(Cities!D30,Country!$A$4:$H$14,6,FALSE)</f>
        <v/>
      </c>
      <c r="L30" s="25">
        <f>VLOOKUP(Cities!D30,Country!$A$4:$H$14,7,FALSE)</f>
        <v/>
      </c>
      <c r="M30" s="25">
        <f>VLOOKUP(Cities!D30,Country!$A$4:$H$14,8,FALSE)</f>
        <v/>
      </c>
      <c r="N30" s="25">
        <f>E30*J30+F30*K30+G30*L30+M30</f>
        <v/>
      </c>
      <c r="O30" s="25">
        <f>Cities!J30</f>
        <v/>
      </c>
      <c r="P30" s="25">
        <f>200+C30*80</f>
        <v/>
      </c>
      <c r="Q30" s="25">
        <f>350+C30*50+300+C30*30</f>
        <v/>
      </c>
      <c r="R30" s="25">
        <f>O30+N30+P30+Q30</f>
        <v/>
      </c>
      <c r="S30" s="23">
        <f>C30*Cities!F30*Cities!G30</f>
        <v/>
      </c>
      <c r="T30" s="23">
        <f>INT(S30*Cities!O30)</f>
        <v/>
      </c>
      <c r="U30" s="23">
        <f>INT(S30*Cities!P30)</f>
        <v/>
      </c>
      <c r="V30" s="23">
        <f>CEILING(R30/(Cities!H30*(1-Cities!I30)),1)</f>
        <v/>
      </c>
      <c r="W30" s="26">
        <f>Cities!H30*Cities!I30</f>
        <v/>
      </c>
      <c r="X30" s="26">
        <f>Cities!H30-W30</f>
        <v/>
      </c>
      <c r="Y30" s="25">
        <f>(U30*Cities!H30*(1-Cities!I30)-R30)*(1-I30)</f>
        <v/>
      </c>
      <c r="Z30" s="25">
        <f>FLOOR((Cities!K30+Cities!L30+Cities!M30+Cities!J30*Cities!N30)*0.92,5000)</f>
        <v/>
      </c>
      <c r="AA30" s="25">
        <f>CEILING((Cities!K30+Cities!L30+Cities!M30+Cities!J30*Cities!N30)*1.08,5000)</f>
        <v/>
      </c>
      <c r="AB30" s="25">
        <f>(Z30+AA30)/2</f>
        <v/>
      </c>
      <c r="AC30" s="23">
        <f>IF(Y30&gt;0,CEILING(AB30/Y30,1),999)</f>
        <v/>
      </c>
      <c r="AD30" s="27">
        <f>IF(R30&gt;0,Y30/R30,0)</f>
        <v/>
      </c>
      <c r="AE30" s="28">
        <f>IF(V30&lt;S30*0.8,"✓ YES","⚠ TIGHT")</f>
        <v/>
      </c>
    </row>
    <row r="31">
      <c r="A31" s="15">
        <f>Cities!A31</f>
        <v/>
      </c>
      <c r="B31" s="9">
        <f>Cities!D31</f>
        <v/>
      </c>
      <c r="C31" s="23">
        <f>IF(Cities!E31&lt;=750,3,IF(Cities!E31&lt;=850,4,5))</f>
        <v/>
      </c>
      <c r="D31" s="23">
        <f>IF(C31&lt;=4,2,3)</f>
        <v/>
      </c>
      <c r="E31" s="23">
        <f>IF(C31&lt;=4,2,3)</f>
        <v/>
      </c>
      <c r="F31" s="23">
        <f>C31-E31</f>
        <v/>
      </c>
      <c r="G31" s="23">
        <f>CEILING(C31/2,1)</f>
        <v/>
      </c>
      <c r="H31" s="23">
        <f>E31+F31+G31+1</f>
        <v/>
      </c>
      <c r="I31" s="24">
        <f>VLOOKUP(Cities!D31,Country!$A$4:$H$14,3,FALSE)</f>
        <v/>
      </c>
      <c r="J31" s="25">
        <f>VLOOKUP(Cities!D31,Country!$A$4:$H$14,5,FALSE)</f>
        <v/>
      </c>
      <c r="K31" s="25">
        <f>VLOOKUP(Cities!D31,Country!$A$4:$H$14,6,FALSE)</f>
        <v/>
      </c>
      <c r="L31" s="25">
        <f>VLOOKUP(Cities!D31,Country!$A$4:$H$14,7,FALSE)</f>
        <v/>
      </c>
      <c r="M31" s="25">
        <f>VLOOKUP(Cities!D31,Country!$A$4:$H$14,8,FALSE)</f>
        <v/>
      </c>
      <c r="N31" s="25">
        <f>E31*J31+F31*K31+G31*L31+M31</f>
        <v/>
      </c>
      <c r="O31" s="25">
        <f>Cities!J31</f>
        <v/>
      </c>
      <c r="P31" s="25">
        <f>200+C31*80</f>
        <v/>
      </c>
      <c r="Q31" s="25">
        <f>350+C31*50+300+C31*30</f>
        <v/>
      </c>
      <c r="R31" s="25">
        <f>O31+N31+P31+Q31</f>
        <v/>
      </c>
      <c r="S31" s="23">
        <f>C31*Cities!F31*Cities!G31</f>
        <v/>
      </c>
      <c r="T31" s="23">
        <f>INT(S31*Cities!O31)</f>
        <v/>
      </c>
      <c r="U31" s="23">
        <f>INT(S31*Cities!P31)</f>
        <v/>
      </c>
      <c r="V31" s="23">
        <f>CEILING(R31/(Cities!H31*(1-Cities!I31)),1)</f>
        <v/>
      </c>
      <c r="W31" s="26">
        <f>Cities!H31*Cities!I31</f>
        <v/>
      </c>
      <c r="X31" s="26">
        <f>Cities!H31-W31</f>
        <v/>
      </c>
      <c r="Y31" s="25">
        <f>(U31*Cities!H31*(1-Cities!I31)-R31)*(1-I31)</f>
        <v/>
      </c>
      <c r="Z31" s="25">
        <f>FLOOR((Cities!K31+Cities!L31+Cities!M31+Cities!J31*Cities!N31)*0.92,5000)</f>
        <v/>
      </c>
      <c r="AA31" s="25">
        <f>CEILING((Cities!K31+Cities!L31+Cities!M31+Cities!J31*Cities!N31)*1.08,5000)</f>
        <v/>
      </c>
      <c r="AB31" s="25">
        <f>(Z31+AA31)/2</f>
        <v/>
      </c>
      <c r="AC31" s="23">
        <f>IF(Y31&gt;0,CEILING(AB31/Y31,1),999)</f>
        <v/>
      </c>
      <c r="AD31" s="27">
        <f>IF(R31&gt;0,Y31/R31,0)</f>
        <v/>
      </c>
      <c r="AE31" s="28">
        <f>IF(V31&lt;S31*0.8,"✓ YES","⚠ TIGHT")</f>
        <v/>
      </c>
    </row>
  </sheetData>
  <mergeCells count="11">
    <mergeCell ref="I3:M3"/>
    <mergeCell ref="Z3:AD3"/>
    <mergeCell ref="A2:AE2"/>
    <mergeCell ref="V3:Y3"/>
    <mergeCell ref="N3"/>
    <mergeCell ref="AE3"/>
    <mergeCell ref="O3:R3"/>
    <mergeCell ref="A1:AE1"/>
    <mergeCell ref="S3:U3"/>
    <mergeCell ref="C3:H3"/>
    <mergeCell ref="A3:B3"/>
  </mergeCells>
  <conditionalFormatting sqref="AE5:AE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2026-05-23T18:03:03Z</dcterms:created>
  <dcterms:modified xmlns:dcterms="http://purl.org/dc/terms/" xmlns:xsi="http://www.w3.org/2001/XMLSchema-instance" xsi:type="dcterms:W3CDTF">2026-05-23T18:17:28Z</dcterms:modified>
</cp:coreProperties>
</file>