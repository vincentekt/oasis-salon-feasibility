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untry" sheetId="2" state="visible" r:id="rId2"/>
    <sheet xmlns:r="http://schemas.openxmlformats.org/officeDocument/2006/relationships" name="Cities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CAPEX_Details" sheetId="5" state="visible" r:id="rId5"/>
    <sheet xmlns:r="http://schemas.openxmlformats.org/officeDocument/2006/relationships" name="OPEX_Detai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&quot;USD &quot;[$-en-US]#,##0"/>
    <numFmt numFmtId="166" formatCode="&quot;$&quot;#,##0"/>
    <numFmt numFmtId="167" formatCode="0.000"/>
    <numFmt numFmtId="168" formatCode="&quot;$&quot;#,##0.00"/>
  </numFmts>
  <fonts count="11">
    <font>
      <name val="Calibri"/>
      <family val="2"/>
      <color theme="1"/>
      <sz val="11"/>
      <scheme val="minor"/>
    </font>
    <font>
      <name val="Calibri"/>
      <b val="1"/>
      <color rgb="001E3A5F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777777"/>
      <sz val="9"/>
    </font>
    <font>
      <name val="Calibri"/>
      <i val="1"/>
      <color rgb="00CC0000"/>
      <sz val="10"/>
    </font>
    <font>
      <name val="Calibri"/>
      <b val="1"/>
      <color rgb="001E3A5F"/>
      <sz val="12"/>
    </font>
    <font>
      <name val="Calibri"/>
      <color rgb="00555555"/>
      <sz val="10"/>
    </font>
    <font>
      <name val="Courier New"/>
      <color rgb="00006400"/>
      <sz val="10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3F2FD"/>
      </patternFill>
    </fill>
    <fill>
      <patternFill patternType="solid">
        <fgColor rgb="00FFF9C4"/>
      </patternFill>
    </fill>
    <fill>
      <patternFill patternType="solid">
        <fgColor rgb="002E6DA4"/>
      </patternFill>
    </fill>
    <fill>
      <patternFill patternType="solid">
        <fgColor rgb="00DDEEFF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/>
      <right/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6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right" vertical="center"/>
    </xf>
    <xf numFmtId="1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9" fontId="5" fillId="4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 wrapText="1"/>
    </xf>
    <xf numFmtId="1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168" fontId="5" fillId="6" borderId="1" applyAlignment="1" pivotButton="0" quotePrefix="0" xfId="0">
      <alignment horizontal="right" vertical="center"/>
    </xf>
    <xf numFmtId="9" fontId="5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dxfs count="1">
    <dxf>
      <font>
        <b val="1"/>
        <color rgb="00006100"/>
      </font>
      <fill>
        <patternFill patternType="solid">
          <fgColor rgb="00CC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0" customHeight="1">
      <c r="A1" s="1" t="inlineStr">
        <is>
          <t>Oasis Salon Feasibility — Excel Workbook Guide</t>
        </is>
      </c>
    </row>
    <row r="2" ht="8" customHeight="1">
      <c r="A2" s="2" t="inlineStr"/>
    </row>
    <row r="3" ht="18" customHeight="1">
      <c r="A3" s="3" t="inlineStr">
        <is>
          <t>📋 HOW THIS WORKBOOK IS STRUCTURED</t>
        </is>
      </c>
    </row>
    <row r="4" ht="8" customHeight="1">
      <c r="A4" s="2" t="inlineStr"/>
    </row>
    <row r="5" ht="15" customHeight="1">
      <c r="A5" s="2" t="inlineStr">
        <is>
          <t>• Country sheet:    Edit tax rates and monthly staff salaries (in USD) per country.</t>
        </is>
      </c>
    </row>
    <row r="6" ht="15" customHeight="1">
      <c r="A6" s="2" t="inlineStr">
        <is>
          <t>• Cities sheet:     Edit all raw inputs per city (yellow cells only):</t>
        </is>
      </c>
    </row>
    <row r="7" ht="14" customHeight="1">
      <c r="A7" s="4" t="inlineStr">
        <is>
          <t xml:space="preserve">   - Space (sq ft), sessions/day, working days, ticket price, COGS %</t>
        </is>
      </c>
    </row>
    <row r="8" ht="14" customHeight="1">
      <c r="A8" s="4" t="inlineStr">
        <is>
          <t xml:space="preserve">   - Rent, fitout cost, equipment cost, other CAPEX, deposit months</t>
        </is>
      </c>
    </row>
    <row r="9" ht="14" customHeight="1">
      <c r="A9" s="4" t="inlineStr">
        <is>
          <t xml:space="preserve">   - Latitude, Longitude, and Underserved Gap % (for map visualization)</t>
        </is>
      </c>
    </row>
    <row r="10" ht="14" customHeight="1">
      <c r="A10" s="4" t="inlineStr">
        <is>
          <t xml:space="preserve">   - Biz Reg Fee (one-time license fee) and Admin &amp; SW (monthly admin overhead)</t>
        </is>
      </c>
    </row>
    <row r="11" ht="14" customHeight="1">
      <c r="A11" s="4" t="inlineStr">
        <is>
          <t xml:space="preserve">   - Year 1 and Year 2 utilisation targets</t>
        </is>
      </c>
    </row>
    <row r="12" ht="15" customHeight="1">
      <c r="A12" s="2" t="inlineStr">
        <is>
          <t>• Model sheet:      All calculations. Do NOT edit directly. Reads from Cities + Country.</t>
        </is>
      </c>
    </row>
    <row r="13" ht="8" customHeight="1">
      <c r="A13" s="2" t="inlineStr"/>
    </row>
    <row r="14" ht="18" customHeight="1">
      <c r="A14" s="3" t="inlineStr">
        <is>
          <t>⚙️ KEY FORMULAS</t>
        </is>
      </c>
    </row>
    <row r="15" ht="8" customHeight="1">
      <c r="A15" s="2" t="inlineStr"/>
    </row>
    <row r="16" ht="15" customHeight="1">
      <c r="A16" s="2" t="inlineStr">
        <is>
          <t xml:space="preserve">  Styling Stations = IF(sqft ≤ 750 → 3, sqft ≤ 850 → 4, else 5)</t>
        </is>
      </c>
    </row>
    <row r="17" ht="15" customHeight="1">
      <c r="A17" s="2" t="inlineStr">
        <is>
          <t xml:space="preserve">  Color Bar Seats  = Stations - 1  (Provides overflow capacity for concurrent color processing)</t>
        </is>
      </c>
    </row>
    <row r="18" ht="15" customHeight="1">
      <c r="A18" s="2" t="inlineStr">
        <is>
          <t xml:space="preserve">  Total Seats      = Stations + Color Bar Seats</t>
        </is>
      </c>
    </row>
    <row r="19" ht="15" customHeight="1">
      <c r="A19" s="2" t="inlineStr">
        <is>
          <t xml:space="preserve">  Max Capacity     = Stations × sessions/day × working_days/month</t>
        </is>
      </c>
    </row>
    <row r="20" ht="15" customHeight="1">
      <c r="A20" s="2" t="inlineStr">
        <is>
          <t xml:space="preserve">  Total Staff Cost = seniors×senior_rate + juniors×junior_rate + assistants×asst_rate + manager_rate</t>
        </is>
      </c>
    </row>
    <row r="21" ht="15" customHeight="1">
      <c r="A21" s="2" t="inlineStr">
        <is>
          <t xml:space="preserve">  Depreciation     = Equipment Cost / 60  (Straight-line over 5 years / 60 months)</t>
        </is>
      </c>
    </row>
    <row r="22" ht="15" customHeight="1">
      <c r="A22" s="2" t="inlineStr">
        <is>
          <t xml:space="preserve">  Total Cash OPEX  = Rent + Staff_Cost + Utilities(200+stations×80) + Mktg+Misc(650+stations×80) + Admin/SW</t>
        </is>
      </c>
    </row>
    <row r="23" ht="15" customHeight="1">
      <c r="A23" s="2" t="inlineStr">
        <is>
          <t xml:space="preserve">  Accounting BE    = CEILING((Total Cash OPEX + Depreciation) / (ticket × (1 − COGS%)), 1)</t>
        </is>
      </c>
    </row>
    <row r="24" ht="15" customHeight="1">
      <c r="A24" s="2" t="inlineStr">
        <is>
          <t xml:space="preserve">  CAPEX Base       = Fitout + Equipment + Other + Biz_Reg_Fee + Rent × Deposit_Months</t>
        </is>
      </c>
    </row>
    <row r="25" ht="15" customHeight="1">
      <c r="A25" s="2" t="inlineStr">
        <is>
          <t xml:space="preserve">  Y2 Monthly PAT   = (Y2_clients × ticket × (1−COGS%) − Cash OPEX − Depreciation) × (1 − tax_rate)</t>
        </is>
      </c>
    </row>
    <row r="26" ht="15" customHeight="1">
      <c r="A26" s="2" t="inlineStr">
        <is>
          <t xml:space="preserve">  Y2 Monthly CF    = Y2_PAT + Depreciation (Add back non-cash depreciation)</t>
        </is>
      </c>
    </row>
    <row r="27" ht="15" customHeight="1">
      <c r="A27" s="2" t="inlineStr">
        <is>
          <t xml:space="preserve">  Payback          = If Y1 Cash Flow covers CAPEX: CAPEX/Y1_CF. Else: 12 + (CAPEX - Y1_CF*12)/Y2_CF</t>
        </is>
      </c>
    </row>
    <row r="28" ht="15" customHeight="1">
      <c r="A28" s="2" t="inlineStr">
        <is>
          <t xml:space="preserve">  Viable?          = YES if Accounting Breakeven &lt; 80% of Max Capacity</t>
        </is>
      </c>
    </row>
    <row r="29" ht="8" customHeight="1">
      <c r="A29" s="2" t="inlineStr"/>
    </row>
    <row r="30" ht="18" customHeight="1">
      <c r="A30" s="3" t="inlineStr">
        <is>
          <t>🔄 UPDATE WORKFLOW</t>
        </is>
      </c>
    </row>
    <row r="31" ht="8" customHeight="1">
      <c r="A31" s="2" t="inlineStr"/>
    </row>
    <row r="32" ht="15" customHeight="1">
      <c r="A32" s="2" t="inlineStr">
        <is>
          <t xml:space="preserve">  1. Edit values in Country or Cities sheet (yellow cells).</t>
        </is>
      </c>
    </row>
    <row r="33" ht="15" customHeight="1">
      <c r="A33" s="2" t="inlineStr">
        <is>
          <t xml:space="preserve">  2. Review the Model sheet to check that all formulas recalculate correctly.</t>
        </is>
      </c>
    </row>
    <row r="34" ht="15" customHeight="1">
      <c r="A34" s="2" t="inlineStr">
        <is>
          <t xml:space="preserve">  3. Save the Excel file.</t>
        </is>
      </c>
    </row>
    <row r="35" ht="15" customHeight="1">
      <c r="A35" s="2" t="inlineStr">
        <is>
          <t xml:space="preserve">  4. Open a terminal and run:</t>
        </is>
      </c>
    </row>
    <row r="36" ht="14" customHeight="1">
      <c r="A36" s="5" t="inlineStr">
        <is>
          <t xml:space="preserve">       python excel_to_json.py</t>
        </is>
      </c>
    </row>
    <row r="37" ht="15" customHeight="1">
      <c r="A37" s="2" t="inlineStr">
        <is>
          <t xml:space="preserve">  5. This regenerates city_data.json.</t>
        </is>
      </c>
    </row>
    <row r="38" ht="15" customHeight="1">
      <c r="A38" s="2" t="inlineStr">
        <is>
          <t xml:space="preserve">  6. Commit and push:</t>
        </is>
      </c>
    </row>
    <row r="39" ht="14" customHeight="1">
      <c r="A39" s="5" t="inlineStr">
        <is>
          <t xml:space="preserve">       git add -A &amp;&amp; git commit -m "Update financials" &amp;&amp; git push</t>
        </is>
      </c>
    </row>
    <row r="40" ht="8" customHeight="1">
      <c r="A40" s="2" t="inlineStr"/>
    </row>
    <row r="41" ht="18" customHeight="1">
      <c r="A41" s="3" t="inlineStr">
        <is>
          <t>📌 NOTES</t>
        </is>
      </c>
    </row>
    <row r="42" ht="8" customHeight="1">
      <c r="A42" s="2" t="inlineStr"/>
    </row>
    <row r="43" ht="15" customHeight="1">
      <c r="A43" s="2" t="inlineStr">
        <is>
          <t xml:space="preserve">  • Taipei vs Taichung CAPEX: Taipei (USD 80-100k) &gt; Taichung (USD 65-85k) because</t>
        </is>
      </c>
    </row>
    <row r="44" ht="14" customHeight="1">
      <c r="A44" s="4" t="inlineStr">
        <is>
          <t xml:space="preserve">    Taipei has: higher rent ($2,200 vs $1,800) + higher Da'an district fitout (USD 55.8k vs 46.5k) + 850 sqft vs 800 sqft.</t>
        </is>
      </c>
    </row>
    <row r="45" ht="15" customHeight="1">
      <c r="A45" s="2" t="inlineStr">
        <is>
          <t xml:space="preserve">  • Japan (Fukuoka, Okinawa) uses 22 working days/month due to standard Monday closures in the Japanese market.</t>
        </is>
      </c>
    </row>
    <row r="46" ht="15" customHeight="1">
      <c r="A46" s="2" t="inlineStr">
        <is>
          <t xml:space="preserve">  • Dubai uses 12 deposit months (UAE annual lease pre-payment norm).</t>
        </is>
      </c>
    </row>
    <row r="47" ht="15" customHeight="1">
      <c r="A47" s="2" t="inlineStr">
        <is>
          <t xml:space="preserve">  • South Korea corporate tax is set to 22.0% (incorporating 20.0% national + 2.0% local income taxes).</t>
        </is>
      </c>
    </row>
    <row r="48" ht="15" customHeight="1">
      <c r="A48" s="2" t="inlineStr">
        <is>
          <t xml:space="preserve">  • Biz Reg Fee covers company setup, legal counsel, bank creation, and local salon permit fees.</t>
        </is>
      </c>
    </row>
    <row r="49" ht="15" customHeight="1">
      <c r="A49" s="2" t="inlineStr">
        <is>
          <t xml:space="preserve">  • Equipment depreciation over 5 years reduces taxable income (tax shield) and is added back for cash flow payback.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2" customHeight="1">
      <c r="A1" s="6" t="inlineStr">
        <is>
          <t>Country Parameters — Salon Financial Model</t>
        </is>
      </c>
    </row>
    <row r="2">
      <c r="A2" s="7" t="inlineStr">
        <is>
          <t>✏ Edit these cells to update assumptions. Run excel_to_json.py after any change.</t>
        </is>
      </c>
    </row>
    <row r="3" ht="36" customHeight="1">
      <c r="A3" s="8" t="inlineStr">
        <is>
          <t>Country Code</t>
        </is>
      </c>
      <c r="B3" s="8" t="inlineStr">
        <is>
          <t>Country Name</t>
        </is>
      </c>
      <c r="C3" s="8" t="inlineStr">
        <is>
          <t>Corp. Tax Rate</t>
        </is>
      </c>
      <c r="D3" s="8" t="inlineStr">
        <is>
          <t>Currency</t>
        </is>
      </c>
      <c r="E3" s="8" t="inlineStr">
        <is>
          <t>Senior Stylist
(USD/mo)</t>
        </is>
      </c>
      <c r="F3" s="8" t="inlineStr">
        <is>
          <t>Junior Stylist
(USD/mo)</t>
        </is>
      </c>
      <c r="G3" s="8" t="inlineStr">
        <is>
          <t>Assistant
(USD/mo)</t>
        </is>
      </c>
      <c r="H3" s="8" t="inlineStr">
        <is>
          <t>Manager
(USD/mo)</t>
        </is>
      </c>
    </row>
    <row r="4">
      <c r="A4" s="9" t="inlineStr">
        <is>
          <t>AU</t>
        </is>
      </c>
      <c r="B4" s="10" t="inlineStr">
        <is>
          <t>Australia</t>
        </is>
      </c>
      <c r="C4" s="11" t="n">
        <v>0.3</v>
      </c>
      <c r="D4" s="10" t="inlineStr">
        <is>
          <t>AUD</t>
        </is>
      </c>
      <c r="E4" s="12" t="n">
        <v>4225</v>
      </c>
      <c r="F4" s="12" t="n">
        <v>2800</v>
      </c>
      <c r="G4" s="12" t="n">
        <v>2470</v>
      </c>
      <c r="H4" s="12" t="n">
        <v>4550</v>
      </c>
    </row>
    <row r="5">
      <c r="A5" s="9" t="inlineStr">
        <is>
          <t>JP</t>
        </is>
      </c>
      <c r="B5" s="10" t="inlineStr">
        <is>
          <t>Japan</t>
        </is>
      </c>
      <c r="C5" s="11" t="n">
        <v>0.3</v>
      </c>
      <c r="D5" s="10" t="inlineStr">
        <is>
          <t>JPY</t>
        </is>
      </c>
      <c r="E5" s="12" t="n">
        <v>2345</v>
      </c>
      <c r="F5" s="12" t="n">
        <v>1474</v>
      </c>
      <c r="G5" s="12" t="n">
        <v>1474</v>
      </c>
      <c r="H5" s="12" t="n">
        <v>3015</v>
      </c>
    </row>
    <row r="6">
      <c r="A6" s="9" t="inlineStr">
        <is>
          <t>KR</t>
        </is>
      </c>
      <c r="B6" s="10" t="inlineStr">
        <is>
          <t>South Korea</t>
        </is>
      </c>
      <c r="C6" s="11" t="n">
        <v>0.22</v>
      </c>
      <c r="D6" s="10" t="inlineStr">
        <is>
          <t>KRW</t>
        </is>
      </c>
      <c r="E6" s="12" t="n">
        <v>2044</v>
      </c>
      <c r="F6" s="12" t="n">
        <v>1314</v>
      </c>
      <c r="G6" s="12" t="n">
        <v>1314</v>
      </c>
      <c r="H6" s="12" t="n">
        <v>2555</v>
      </c>
    </row>
    <row r="7">
      <c r="A7" s="9" t="inlineStr">
        <is>
          <t>SG</t>
        </is>
      </c>
      <c r="B7" s="10" t="inlineStr">
        <is>
          <t>Singapore</t>
        </is>
      </c>
      <c r="C7" s="11" t="n">
        <v>0.17</v>
      </c>
      <c r="D7" s="10" t="inlineStr">
        <is>
          <t>SGD</t>
        </is>
      </c>
      <c r="E7" s="12" t="n">
        <v>3330</v>
      </c>
      <c r="F7" s="12" t="n">
        <v>2480</v>
      </c>
      <c r="G7" s="12" t="n">
        <v>1850</v>
      </c>
      <c r="H7" s="12" t="n">
        <v>4440</v>
      </c>
    </row>
    <row r="8">
      <c r="A8" s="9" t="inlineStr">
        <is>
          <t>HK</t>
        </is>
      </c>
      <c r="B8" s="10" t="inlineStr">
        <is>
          <t>Hong Kong</t>
        </is>
      </c>
      <c r="C8" s="11" t="n">
        <v>0.165</v>
      </c>
      <c r="D8" s="10" t="inlineStr">
        <is>
          <t>HKD</t>
        </is>
      </c>
      <c r="E8" s="12" t="n">
        <v>2432</v>
      </c>
      <c r="F8" s="12" t="n">
        <v>1792</v>
      </c>
      <c r="G8" s="12" t="n">
        <v>1664</v>
      </c>
      <c r="H8" s="12" t="n">
        <v>3072</v>
      </c>
    </row>
    <row r="9">
      <c r="A9" s="9" t="inlineStr">
        <is>
          <t>MC</t>
        </is>
      </c>
      <c r="B9" s="10" t="inlineStr">
        <is>
          <t>Macau</t>
        </is>
      </c>
      <c r="C9" s="11" t="n">
        <v>0.12</v>
      </c>
      <c r="D9" s="10" t="inlineStr">
        <is>
          <t>HKD</t>
        </is>
      </c>
      <c r="E9" s="12" t="n">
        <v>2304</v>
      </c>
      <c r="F9" s="12" t="n">
        <v>1536</v>
      </c>
      <c r="G9" s="12" t="n">
        <v>1536</v>
      </c>
      <c r="H9" s="12" t="n">
        <v>2816</v>
      </c>
    </row>
    <row r="10">
      <c r="A10" s="9" t="inlineStr">
        <is>
          <t>TW</t>
        </is>
      </c>
      <c r="B10" s="10" t="inlineStr">
        <is>
          <t>Taiwan</t>
        </is>
      </c>
      <c r="C10" s="11" t="n">
        <v>0.2</v>
      </c>
      <c r="D10" s="10" t="inlineStr">
        <is>
          <t>NTD</t>
        </is>
      </c>
      <c r="E10" s="12" t="n">
        <v>1705</v>
      </c>
      <c r="F10" s="12" t="n">
        <v>992</v>
      </c>
      <c r="G10" s="12" t="n">
        <v>992</v>
      </c>
      <c r="H10" s="12" t="n">
        <v>2170</v>
      </c>
    </row>
    <row r="11">
      <c r="A11" s="9" t="inlineStr">
        <is>
          <t>MY</t>
        </is>
      </c>
      <c r="B11" s="10" t="inlineStr">
        <is>
          <t>Malaysia</t>
        </is>
      </c>
      <c r="C11" s="11" t="n">
        <v>0.24</v>
      </c>
      <c r="D11" s="10" t="inlineStr">
        <is>
          <t>MYR</t>
        </is>
      </c>
      <c r="E11" s="12" t="n">
        <v>990</v>
      </c>
      <c r="F11" s="12" t="n">
        <v>660</v>
      </c>
      <c r="G11" s="12" t="n">
        <v>484</v>
      </c>
      <c r="H11" s="12" t="n">
        <v>1320</v>
      </c>
    </row>
    <row r="12">
      <c r="A12" s="9" t="inlineStr">
        <is>
          <t>VN</t>
        </is>
      </c>
      <c r="B12" s="10" t="inlineStr">
        <is>
          <t>Vietnam</t>
        </is>
      </c>
      <c r="C12" s="11" t="n">
        <v>0.2</v>
      </c>
      <c r="D12" s="10" t="inlineStr">
        <is>
          <t>VND</t>
        </is>
      </c>
      <c r="E12" s="12" t="n">
        <v>800</v>
      </c>
      <c r="F12" s="12" t="n">
        <v>500</v>
      </c>
      <c r="G12" s="12" t="n">
        <v>420</v>
      </c>
      <c r="H12" s="12" t="n">
        <v>1100</v>
      </c>
    </row>
    <row r="13">
      <c r="A13" s="9" t="inlineStr">
        <is>
          <t>TH</t>
        </is>
      </c>
      <c r="B13" s="10" t="inlineStr">
        <is>
          <t>Thailand</t>
        </is>
      </c>
      <c r="C13" s="11" t="n">
        <v>0.2</v>
      </c>
      <c r="D13" s="10" t="inlineStr">
        <is>
          <t>THB</t>
        </is>
      </c>
      <c r="E13" s="12" t="n">
        <v>1305</v>
      </c>
      <c r="F13" s="12" t="n">
        <v>870</v>
      </c>
      <c r="G13" s="12" t="n">
        <v>638</v>
      </c>
      <c r="H13" s="12" t="n">
        <v>1740</v>
      </c>
    </row>
    <row r="14">
      <c r="A14" s="9" t="inlineStr">
        <is>
          <t>AE</t>
        </is>
      </c>
      <c r="B14" s="10" t="inlineStr">
        <is>
          <t>UAE / Dubai</t>
        </is>
      </c>
      <c r="C14" s="11" t="n">
        <v>0.09</v>
      </c>
      <c r="D14" s="10" t="inlineStr">
        <is>
          <t>AED</t>
        </is>
      </c>
      <c r="E14" s="12" t="n">
        <v>2720</v>
      </c>
      <c r="F14" s="12" t="n">
        <v>1904</v>
      </c>
      <c r="G14" s="12" t="n">
        <v>1632</v>
      </c>
      <c r="H14" s="12" t="n">
        <v>3808</v>
      </c>
    </row>
    <row r="15"/>
    <row r="16">
      <c r="A16" s="13" t="inlineStr">
        <is>
          <t>💡 Country lookup: These rows are referenced by VLOOKUP in the Cities sheet. Do not change the Country Code column (column A). Add new countries at the bottom.</t>
        </is>
      </c>
    </row>
    <row r="17"/>
    <row r="18"/>
    <row r="19"/>
    <row r="20"/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0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10" customWidth="1" min="8" max="8"/>
    <col width="9" customWidth="1" min="9" max="9"/>
    <col width="12" customWidth="1" min="10" max="10"/>
    <col width="14" customWidth="1" min="11" max="11"/>
    <col width="14" customWidth="1" min="12" max="12"/>
    <col width="14" customWidth="1" min="13" max="13"/>
    <col width="11" customWidth="1" min="14" max="14"/>
    <col width="9" customWidth="1" min="15" max="15"/>
    <col width="9" customWidth="1" min="16" max="16"/>
    <col width="12" customWidth="1" min="17" max="17"/>
    <col width="12" customWidth="1" min="18" max="18"/>
    <col width="14" customWidth="1" min="19" max="19"/>
    <col width="14" customWidth="1" min="20" max="20"/>
    <col width="14" customWidth="1" min="21" max="21"/>
  </cols>
  <sheetData>
    <row r="1" ht="32" customHeight="1">
      <c r="A1" s="6" t="inlineStr">
        <is>
          <t>Oasis Salon — City Input Parameters</t>
        </is>
      </c>
    </row>
    <row r="2" ht="20" customHeight="1">
      <c r="A2" s="7" t="inlineStr">
        <is>
          <t>✏ YELLOW = editable inputs. BLUE (Model sheet) = auto-calculated. After editing, run: python excel_to_json.py</t>
        </is>
      </c>
    </row>
    <row r="3" ht="24" customHeight="1">
      <c r="A3" s="14" t="inlineStr">
        <is>
          <t>IDENTITY</t>
        </is>
      </c>
      <c r="B3" s="30" t="n"/>
      <c r="C3" s="30" t="n"/>
      <c r="D3" s="31" t="n"/>
      <c r="E3" s="14" t="inlineStr">
        <is>
          <t>SPACE &amp; TIME</t>
        </is>
      </c>
      <c r="F3" s="30" t="n"/>
      <c r="G3" s="31" t="n"/>
      <c r="H3" s="14" t="inlineStr">
        <is>
          <t>PRICING</t>
        </is>
      </c>
      <c r="I3" s="31" t="n"/>
      <c r="J3" s="14" t="inlineStr">
        <is>
          <t>COSTS &amp; CAPEX</t>
        </is>
      </c>
      <c r="K3" s="30" t="n"/>
      <c r="L3" s="30" t="n"/>
      <c r="M3" s="30" t="n"/>
      <c r="N3" s="31" t="n"/>
      <c r="O3" s="14" t="inlineStr">
        <is>
          <t>UTILISATION</t>
        </is>
      </c>
      <c r="P3" s="31" t="n"/>
      <c r="Q3" s="14" t="inlineStr">
        <is>
          <t>GEOGRAPHY</t>
        </is>
      </c>
      <c r="R3" s="30" t="n"/>
      <c r="S3" s="31" t="n"/>
      <c r="T3" s="14" t="inlineStr">
        <is>
          <t>BUSINESS FEES &amp; ADMIN</t>
        </is>
      </c>
      <c r="U3" s="31" t="n"/>
    </row>
    <row r="4" ht="42" customHeight="1">
      <c r="A4" s="8" t="inlineStr">
        <is>
          <t>City Name</t>
        </is>
      </c>
      <c r="B4" s="8" t="inlineStr">
        <is>
          <t>URL</t>
        </is>
      </c>
      <c r="C4" s="8" t="inlineStr">
        <is>
          <t>Region</t>
        </is>
      </c>
      <c r="D4" s="8" t="inlineStr">
        <is>
          <t>Country
Code</t>
        </is>
      </c>
      <c r="E4" s="8" t="inlineStr">
        <is>
          <t>Space
(sq ft)</t>
        </is>
      </c>
      <c r="F4" s="8" t="inlineStr">
        <is>
          <t>Sessions/
Station/Day</t>
        </is>
      </c>
      <c r="G4" s="8" t="inlineStr">
        <is>
          <t>Working
Days/Month</t>
        </is>
      </c>
      <c r="H4" s="8" t="inlineStr">
        <is>
          <t>Ticket
(USD)</t>
        </is>
      </c>
      <c r="I4" s="8" t="inlineStr">
        <is>
          <t>COGS %</t>
        </is>
      </c>
      <c r="J4" s="8" t="inlineStr">
        <is>
          <t>Rent
(USD/mo)</t>
        </is>
      </c>
      <c r="K4" s="8" t="inlineStr">
        <is>
          <t>Fitout
(USD)</t>
        </is>
      </c>
      <c r="L4" s="8" t="inlineStr">
        <is>
          <t>Equipment
(USD)</t>
        </is>
      </c>
      <c r="M4" s="8" t="inlineStr">
        <is>
          <t>Other
CAPEX (USD)</t>
        </is>
      </c>
      <c r="N4" s="8" t="inlineStr">
        <is>
          <t>Deposit
Months</t>
        </is>
      </c>
      <c r="O4" s="8" t="inlineStr">
        <is>
          <t>Util Y1
(%)</t>
        </is>
      </c>
      <c r="P4" s="8" t="inlineStr">
        <is>
          <t>Util Y2
(%)</t>
        </is>
      </c>
      <c r="Q4" s="8" t="inlineStr">
        <is>
          <t>Latitude</t>
        </is>
      </c>
      <c r="R4" s="8" t="inlineStr">
        <is>
          <t>Longitude</t>
        </is>
      </c>
      <c r="S4" s="8" t="inlineStr">
        <is>
          <t>Underserved
Gap %</t>
        </is>
      </c>
      <c r="T4" s="8" t="inlineStr">
        <is>
          <t>Biz Reg Fee
(USD)</t>
        </is>
      </c>
      <c r="U4" s="8" t="inlineStr">
        <is>
          <t>Admin &amp; SW
(USD/mo)</t>
        </is>
      </c>
    </row>
    <row r="5">
      <c r="A5" s="15" t="inlineStr">
        <is>
          <t>Ho Chi Minh</t>
        </is>
      </c>
      <c r="B5" s="16" t="inlineStr">
        <is>
          <t>hcmc.html</t>
        </is>
      </c>
      <c r="C5" s="16" t="inlineStr">
        <is>
          <t>Vietnam</t>
        </is>
      </c>
      <c r="D5" s="17" t="inlineStr">
        <is>
          <t>VN</t>
        </is>
      </c>
      <c r="E5" s="18" t="n">
        <v>800</v>
      </c>
      <c r="F5" s="19" t="n">
        <v>3</v>
      </c>
      <c r="G5" s="19" t="n">
        <v>26</v>
      </c>
      <c r="H5" s="20" t="n">
        <v>95</v>
      </c>
      <c r="I5" s="11" t="n">
        <v>0.1</v>
      </c>
      <c r="J5" s="20" t="n">
        <v>3000</v>
      </c>
      <c r="K5" s="20" t="n">
        <v>20000</v>
      </c>
      <c r="L5" s="20" t="n">
        <v>20000</v>
      </c>
      <c r="M5" s="20" t="n">
        <v>9000</v>
      </c>
      <c r="N5" s="19" t="n">
        <v>3</v>
      </c>
      <c r="O5" s="21" t="n">
        <v>0.65</v>
      </c>
      <c r="P5" s="21" t="n">
        <v>0.75</v>
      </c>
      <c r="Q5" s="22" t="n">
        <v>10.776</v>
      </c>
      <c r="R5" s="22" t="n">
        <v>106.701</v>
      </c>
      <c r="S5" s="19" t="n">
        <v>65</v>
      </c>
      <c r="T5" s="20" t="n">
        <v>6500</v>
      </c>
      <c r="U5" s="20" t="n">
        <v>200</v>
      </c>
    </row>
    <row r="6">
      <c r="A6" s="15" t="inlineStr">
        <is>
          <t>Hanoi</t>
        </is>
      </c>
      <c r="B6" s="16" t="inlineStr">
        <is>
          <t>hanoi.html</t>
        </is>
      </c>
      <c r="C6" s="16" t="inlineStr">
        <is>
          <t>Vietnam</t>
        </is>
      </c>
      <c r="D6" s="17" t="inlineStr">
        <is>
          <t>VN</t>
        </is>
      </c>
      <c r="E6" s="18" t="n">
        <v>800</v>
      </c>
      <c r="F6" s="19" t="n">
        <v>3</v>
      </c>
      <c r="G6" s="19" t="n">
        <v>26</v>
      </c>
      <c r="H6" s="20" t="n">
        <v>95</v>
      </c>
      <c r="I6" s="11" t="n">
        <v>0.1</v>
      </c>
      <c r="J6" s="20" t="n">
        <v>2200</v>
      </c>
      <c r="K6" s="20" t="n">
        <v>18000</v>
      </c>
      <c r="L6" s="20" t="n">
        <v>18000</v>
      </c>
      <c r="M6" s="20" t="n">
        <v>7600</v>
      </c>
      <c r="N6" s="19" t="n">
        <v>3</v>
      </c>
      <c r="O6" s="21" t="n">
        <v>0.65</v>
      </c>
      <c r="P6" s="21" t="n">
        <v>0.75</v>
      </c>
      <c r="Q6" s="22" t="n">
        <v>21.028</v>
      </c>
      <c r="R6" s="22" t="n">
        <v>105.852</v>
      </c>
      <c r="S6" s="19" t="n">
        <v>55</v>
      </c>
      <c r="T6" s="20" t="n">
        <v>6500</v>
      </c>
      <c r="U6" s="20" t="n">
        <v>200</v>
      </c>
    </row>
    <row r="7">
      <c r="A7" s="15" t="inlineStr">
        <is>
          <t>Da Nang</t>
        </is>
      </c>
      <c r="B7" s="16" t="inlineStr">
        <is>
          <t>danang.html</t>
        </is>
      </c>
      <c r="C7" s="16" t="inlineStr">
        <is>
          <t>Vietnam</t>
        </is>
      </c>
      <c r="D7" s="17" t="inlineStr">
        <is>
          <t>VN</t>
        </is>
      </c>
      <c r="E7" s="18" t="n">
        <v>800</v>
      </c>
      <c r="F7" s="19" t="n">
        <v>4</v>
      </c>
      <c r="G7" s="19" t="n">
        <v>26</v>
      </c>
      <c r="H7" s="20" t="n">
        <v>55</v>
      </c>
      <c r="I7" s="11" t="n">
        <v>0.1</v>
      </c>
      <c r="J7" s="20" t="n">
        <v>800</v>
      </c>
      <c r="K7" s="20" t="n">
        <v>12000</v>
      </c>
      <c r="L7" s="20" t="n">
        <v>16000</v>
      </c>
      <c r="M7" s="20" t="n">
        <v>4600</v>
      </c>
      <c r="N7" s="19" t="n">
        <v>3</v>
      </c>
      <c r="O7" s="21" t="n">
        <v>0.65</v>
      </c>
      <c r="P7" s="21" t="n">
        <v>0.75</v>
      </c>
      <c r="Q7" s="22" t="n">
        <v>16.068</v>
      </c>
      <c r="R7" s="22" t="n">
        <v>108.212</v>
      </c>
      <c r="S7" s="19" t="n">
        <v>70</v>
      </c>
      <c r="T7" s="20" t="n">
        <v>6500</v>
      </c>
      <c r="U7" s="20" t="n">
        <v>200</v>
      </c>
    </row>
    <row r="8">
      <c r="A8" s="15" t="inlineStr">
        <is>
          <t>Hai Phong</t>
        </is>
      </c>
      <c r="B8" s="16" t="inlineStr">
        <is>
          <t>haiphong.html</t>
        </is>
      </c>
      <c r="C8" s="16" t="inlineStr">
        <is>
          <t>Vietnam</t>
        </is>
      </c>
      <c r="D8" s="17" t="inlineStr">
        <is>
          <t>VN</t>
        </is>
      </c>
      <c r="E8" s="18" t="n">
        <v>800</v>
      </c>
      <c r="F8" s="19" t="n">
        <v>4</v>
      </c>
      <c r="G8" s="19" t="n">
        <v>26</v>
      </c>
      <c r="H8" s="20" t="n">
        <v>45</v>
      </c>
      <c r="I8" s="11" t="n">
        <v>0.1</v>
      </c>
      <c r="J8" s="20" t="n">
        <v>650</v>
      </c>
      <c r="K8" s="20" t="n">
        <v>10000</v>
      </c>
      <c r="L8" s="20" t="n">
        <v>15000</v>
      </c>
      <c r="M8" s="20" t="n">
        <v>3300</v>
      </c>
      <c r="N8" s="19" t="n">
        <v>3</v>
      </c>
      <c r="O8" s="21" t="n">
        <v>0.65</v>
      </c>
      <c r="P8" s="21" t="n">
        <v>0.75</v>
      </c>
      <c r="Q8" s="22" t="n">
        <v>20.865</v>
      </c>
      <c r="R8" s="22" t="n">
        <v>106.683</v>
      </c>
      <c r="S8" s="19" t="n">
        <v>72</v>
      </c>
      <c r="T8" s="20" t="n">
        <v>6500</v>
      </c>
      <c r="U8" s="20" t="n">
        <v>200</v>
      </c>
    </row>
    <row r="9">
      <c r="A9" s="15" t="inlineStr">
        <is>
          <t>Binh Duong</t>
        </is>
      </c>
      <c r="B9" s="16" t="inlineStr">
        <is>
          <t>binhduong.html</t>
        </is>
      </c>
      <c r="C9" s="16" t="inlineStr">
        <is>
          <t>Vietnam</t>
        </is>
      </c>
      <c r="D9" s="17" t="inlineStr">
        <is>
          <t>VN</t>
        </is>
      </c>
      <c r="E9" s="18" t="n">
        <v>800</v>
      </c>
      <c r="F9" s="19" t="n">
        <v>4</v>
      </c>
      <c r="G9" s="19" t="n">
        <v>26</v>
      </c>
      <c r="H9" s="20" t="n">
        <v>45</v>
      </c>
      <c r="I9" s="11" t="n">
        <v>0.1</v>
      </c>
      <c r="J9" s="20" t="n">
        <v>600</v>
      </c>
      <c r="K9" s="20" t="n">
        <v>10000</v>
      </c>
      <c r="L9" s="20" t="n">
        <v>14000</v>
      </c>
      <c r="M9" s="20" t="n">
        <v>3200</v>
      </c>
      <c r="N9" s="19" t="n">
        <v>3</v>
      </c>
      <c r="O9" s="21" t="n">
        <v>0.65</v>
      </c>
      <c r="P9" s="21" t="n">
        <v>0.75</v>
      </c>
      <c r="Q9" s="22" t="n">
        <v>10.98</v>
      </c>
      <c r="R9" s="22" t="n">
        <v>106.653</v>
      </c>
      <c r="S9" s="19" t="n">
        <v>75</v>
      </c>
      <c r="T9" s="20" t="n">
        <v>6500</v>
      </c>
      <c r="U9" s="20" t="n">
        <v>200</v>
      </c>
    </row>
    <row r="10">
      <c r="A10" s="15" t="inlineStr">
        <is>
          <t>Dong Nai</t>
        </is>
      </c>
      <c r="B10" s="16" t="inlineStr">
        <is>
          <t>dongnai.html</t>
        </is>
      </c>
      <c r="C10" s="16" t="inlineStr">
        <is>
          <t>Vietnam</t>
        </is>
      </c>
      <c r="D10" s="17" t="inlineStr">
        <is>
          <t>VN</t>
        </is>
      </c>
      <c r="E10" s="18" t="n">
        <v>800</v>
      </c>
      <c r="F10" s="19" t="n">
        <v>4</v>
      </c>
      <c r="G10" s="19" t="n">
        <v>26</v>
      </c>
      <c r="H10" s="20" t="n">
        <v>55</v>
      </c>
      <c r="I10" s="11" t="n">
        <v>0.1</v>
      </c>
      <c r="J10" s="20" t="n">
        <v>550</v>
      </c>
      <c r="K10" s="20" t="n">
        <v>9000</v>
      </c>
      <c r="L10" s="20" t="n">
        <v>13000</v>
      </c>
      <c r="M10" s="20" t="n">
        <v>3100</v>
      </c>
      <c r="N10" s="19" t="n">
        <v>3</v>
      </c>
      <c r="O10" s="21" t="n">
        <v>0.65</v>
      </c>
      <c r="P10" s="21" t="n">
        <v>0.75</v>
      </c>
      <c r="Q10" s="22" t="n">
        <v>10.945</v>
      </c>
      <c r="R10" s="22" t="n">
        <v>106.824</v>
      </c>
      <c r="S10" s="19" t="n">
        <v>73</v>
      </c>
      <c r="T10" s="20" t="n">
        <v>6500</v>
      </c>
      <c r="U10" s="20" t="n">
        <v>200</v>
      </c>
    </row>
    <row r="11">
      <c r="A11" s="15" t="inlineStr">
        <is>
          <t>Kuala Lumpur</t>
        </is>
      </c>
      <c r="B11" s="16" t="inlineStr">
        <is>
          <t>kuala_lumpur.html</t>
        </is>
      </c>
      <c r="C11" s="16" t="inlineStr">
        <is>
          <t>Malaysia</t>
        </is>
      </c>
      <c r="D11" s="17" t="inlineStr">
        <is>
          <t>MY</t>
        </is>
      </c>
      <c r="E11" s="18" t="n">
        <v>800</v>
      </c>
      <c r="F11" s="19" t="n">
        <v>3</v>
      </c>
      <c r="G11" s="19" t="n">
        <v>26</v>
      </c>
      <c r="H11" s="20" t="n">
        <v>90</v>
      </c>
      <c r="I11" s="11" t="n">
        <v>0.1</v>
      </c>
      <c r="J11" s="20" t="n">
        <v>3500</v>
      </c>
      <c r="K11" s="20" t="n">
        <v>33000</v>
      </c>
      <c r="L11" s="20" t="n">
        <v>20000</v>
      </c>
      <c r="M11" s="20" t="n">
        <v>6000</v>
      </c>
      <c r="N11" s="19" t="n">
        <v>3</v>
      </c>
      <c r="O11" s="21" t="n">
        <v>0.65</v>
      </c>
      <c r="P11" s="21" t="n">
        <v>0.75</v>
      </c>
      <c r="Q11" s="22" t="n">
        <v>3.148</v>
      </c>
      <c r="R11" s="22" t="n">
        <v>101.686</v>
      </c>
      <c r="S11" s="19" t="n">
        <v>40</v>
      </c>
      <c r="T11" s="20" t="n">
        <v>7500</v>
      </c>
      <c r="U11" s="20" t="n">
        <v>200</v>
      </c>
    </row>
    <row r="12">
      <c r="A12" s="15" t="inlineStr">
        <is>
          <t>Johor Bahru (RTS)</t>
        </is>
      </c>
      <c r="B12" s="16" t="inlineStr">
        <is>
          <t>johor.html</t>
        </is>
      </c>
      <c r="C12" s="16" t="inlineStr">
        <is>
          <t>Malaysia</t>
        </is>
      </c>
      <c r="D12" s="17" t="inlineStr">
        <is>
          <t>MY</t>
        </is>
      </c>
      <c r="E12" s="18" t="n">
        <v>1000</v>
      </c>
      <c r="F12" s="19" t="n">
        <v>4</v>
      </c>
      <c r="G12" s="19" t="n">
        <v>26</v>
      </c>
      <c r="H12" s="20" t="n">
        <v>65</v>
      </c>
      <c r="I12" s="11" t="n">
        <v>0.1</v>
      </c>
      <c r="J12" s="20" t="n">
        <v>1700</v>
      </c>
      <c r="K12" s="20" t="n">
        <v>28600</v>
      </c>
      <c r="L12" s="20" t="n">
        <v>18000</v>
      </c>
      <c r="M12" s="20" t="n">
        <v>5400</v>
      </c>
      <c r="N12" s="19" t="n">
        <v>3</v>
      </c>
      <c r="O12" s="21" t="n">
        <v>0.65</v>
      </c>
      <c r="P12" s="21" t="n">
        <v>0.75</v>
      </c>
      <c r="Q12" s="22" t="n">
        <v>1.492</v>
      </c>
      <c r="R12" s="22" t="n">
        <v>103.743</v>
      </c>
      <c r="S12" s="19" t="n">
        <v>55</v>
      </c>
      <c r="T12" s="20" t="n">
        <v>7500</v>
      </c>
      <c r="U12" s="20" t="n">
        <v>200</v>
      </c>
    </row>
    <row r="13">
      <c r="A13" s="15" t="inlineStr">
        <is>
          <t>Penang</t>
        </is>
      </c>
      <c r="B13" s="16" t="inlineStr">
        <is>
          <t>penang.html</t>
        </is>
      </c>
      <c r="C13" s="16" t="inlineStr">
        <is>
          <t>Malaysia</t>
        </is>
      </c>
      <c r="D13" s="17" t="inlineStr">
        <is>
          <t>MY</t>
        </is>
      </c>
      <c r="E13" s="18" t="n">
        <v>800</v>
      </c>
      <c r="F13" s="19" t="n">
        <v>4</v>
      </c>
      <c r="G13" s="19" t="n">
        <v>26</v>
      </c>
      <c r="H13" s="20" t="n">
        <v>55</v>
      </c>
      <c r="I13" s="11" t="n">
        <v>0.1</v>
      </c>
      <c r="J13" s="20" t="n">
        <v>800</v>
      </c>
      <c r="K13" s="20" t="n">
        <v>22000</v>
      </c>
      <c r="L13" s="20" t="n">
        <v>15000</v>
      </c>
      <c r="M13" s="20" t="n">
        <v>4800</v>
      </c>
      <c r="N13" s="19" t="n">
        <v>3</v>
      </c>
      <c r="O13" s="21" t="n">
        <v>0.65</v>
      </c>
      <c r="P13" s="21" t="n">
        <v>0.75</v>
      </c>
      <c r="Q13" s="22" t="n">
        <v>5.414</v>
      </c>
      <c r="R13" s="22" t="n">
        <v>100.33</v>
      </c>
      <c r="S13" s="19" t="n">
        <v>50</v>
      </c>
      <c r="T13" s="20" t="n">
        <v>7500</v>
      </c>
      <c r="U13" s="20" t="n">
        <v>200</v>
      </c>
    </row>
    <row r="14">
      <c r="A14" s="15" t="inlineStr">
        <is>
          <t>Sabah</t>
        </is>
      </c>
      <c r="B14" s="16" t="inlineStr">
        <is>
          <t>sabah.html</t>
        </is>
      </c>
      <c r="C14" s="16" t="inlineStr">
        <is>
          <t>Malaysia</t>
        </is>
      </c>
      <c r="D14" s="17" t="inlineStr">
        <is>
          <t>MY</t>
        </is>
      </c>
      <c r="E14" s="18" t="n">
        <v>800</v>
      </c>
      <c r="F14" s="19" t="n">
        <v>4</v>
      </c>
      <c r="G14" s="19" t="n">
        <v>26</v>
      </c>
      <c r="H14" s="20" t="n">
        <v>45</v>
      </c>
      <c r="I14" s="11" t="n">
        <v>0.1</v>
      </c>
      <c r="J14" s="20" t="n">
        <v>900</v>
      </c>
      <c r="K14" s="20" t="n">
        <v>19800</v>
      </c>
      <c r="L14" s="20" t="n">
        <v>14500</v>
      </c>
      <c r="M14" s="20" t="n">
        <v>4500</v>
      </c>
      <c r="N14" s="19" t="n">
        <v>3</v>
      </c>
      <c r="O14" s="21" t="n">
        <v>0.65</v>
      </c>
      <c r="P14" s="21" t="n">
        <v>0.75</v>
      </c>
      <c r="Q14" s="22" t="n">
        <v>5.978</v>
      </c>
      <c r="R14" s="22" t="n">
        <v>116.073</v>
      </c>
      <c r="S14" s="19" t="n">
        <v>75</v>
      </c>
      <c r="T14" s="20" t="n">
        <v>7500</v>
      </c>
      <c r="U14" s="20" t="n">
        <v>200</v>
      </c>
    </row>
    <row r="15">
      <c r="A15" s="15" t="inlineStr">
        <is>
          <t>Sarawak</t>
        </is>
      </c>
      <c r="B15" s="16" t="inlineStr">
        <is>
          <t>sarawak.html</t>
        </is>
      </c>
      <c r="C15" s="16" t="inlineStr">
        <is>
          <t>Malaysia</t>
        </is>
      </c>
      <c r="D15" s="17" t="inlineStr">
        <is>
          <t>MY</t>
        </is>
      </c>
      <c r="E15" s="18" t="n">
        <v>800</v>
      </c>
      <c r="F15" s="19" t="n">
        <v>4</v>
      </c>
      <c r="G15" s="19" t="n">
        <v>26</v>
      </c>
      <c r="H15" s="20" t="n">
        <v>46</v>
      </c>
      <c r="I15" s="11" t="n">
        <v>0.1</v>
      </c>
      <c r="J15" s="20" t="n">
        <v>700</v>
      </c>
      <c r="K15" s="20" t="n">
        <v>18700</v>
      </c>
      <c r="L15" s="20" t="n">
        <v>14000</v>
      </c>
      <c r="M15" s="20" t="n">
        <v>4200</v>
      </c>
      <c r="N15" s="19" t="n">
        <v>3</v>
      </c>
      <c r="O15" s="21" t="n">
        <v>0.65</v>
      </c>
      <c r="P15" s="21" t="n">
        <v>0.75</v>
      </c>
      <c r="Q15" s="22" t="n">
        <v>1.553</v>
      </c>
      <c r="R15" s="22" t="n">
        <v>110.36</v>
      </c>
      <c r="S15" s="19" t="n">
        <v>65</v>
      </c>
      <c r="T15" s="20" t="n">
        <v>7500</v>
      </c>
      <c r="U15" s="20" t="n">
        <v>200</v>
      </c>
    </row>
    <row r="16">
      <c r="A16" s="15" t="inlineStr">
        <is>
          <t>Singapore</t>
        </is>
      </c>
      <c r="B16" s="16" t="inlineStr">
        <is>
          <t>singapore.html</t>
        </is>
      </c>
      <c r="C16" s="16" t="inlineStr">
        <is>
          <t>Other APAC</t>
        </is>
      </c>
      <c r="D16" s="17" t="inlineStr">
        <is>
          <t>SG</t>
        </is>
      </c>
      <c r="E16" s="18" t="n">
        <v>750</v>
      </c>
      <c r="F16" s="19" t="n">
        <v>3</v>
      </c>
      <c r="G16" s="19" t="n">
        <v>26</v>
      </c>
      <c r="H16" s="20" t="n">
        <v>180</v>
      </c>
      <c r="I16" s="11" t="n">
        <v>0.1</v>
      </c>
      <c r="J16" s="20" t="n">
        <v>5500</v>
      </c>
      <c r="K16" s="20" t="n">
        <v>66600</v>
      </c>
      <c r="L16" s="20" t="n">
        <v>22000</v>
      </c>
      <c r="M16" s="20" t="n">
        <v>16500</v>
      </c>
      <c r="N16" s="19" t="n">
        <v>3</v>
      </c>
      <c r="O16" s="21" t="n">
        <v>0.65</v>
      </c>
      <c r="P16" s="21" t="n">
        <v>0.75</v>
      </c>
      <c r="Q16" s="22" t="n">
        <v>1.283</v>
      </c>
      <c r="R16" s="22" t="n">
        <v>103.85</v>
      </c>
      <c r="S16" s="19" t="n">
        <v>25</v>
      </c>
      <c r="T16" s="20" t="n">
        <v>4000</v>
      </c>
      <c r="U16" s="20" t="n">
        <v>300</v>
      </c>
    </row>
    <row r="17">
      <c r="A17" s="15" t="inlineStr">
        <is>
          <t>Hong Kong</t>
        </is>
      </c>
      <c r="B17" s="16" t="inlineStr">
        <is>
          <t>hongkong.html</t>
        </is>
      </c>
      <c r="C17" s="16" t="inlineStr">
        <is>
          <t>Other APAC</t>
        </is>
      </c>
      <c r="D17" s="17" t="inlineStr">
        <is>
          <t>HK</t>
        </is>
      </c>
      <c r="E17" s="18" t="n">
        <v>750</v>
      </c>
      <c r="F17" s="19" t="n">
        <v>3</v>
      </c>
      <c r="G17" s="19" t="n">
        <v>26</v>
      </c>
      <c r="H17" s="20" t="n">
        <v>200</v>
      </c>
      <c r="I17" s="11" t="n">
        <v>0.1</v>
      </c>
      <c r="J17" s="20" t="n">
        <v>8500</v>
      </c>
      <c r="K17" s="20" t="n">
        <v>76800</v>
      </c>
      <c r="L17" s="20" t="n">
        <v>22000</v>
      </c>
      <c r="M17" s="20" t="n">
        <v>25500</v>
      </c>
      <c r="N17" s="19" t="n">
        <v>3</v>
      </c>
      <c r="O17" s="21" t="n">
        <v>0.65</v>
      </c>
      <c r="P17" s="21" t="n">
        <v>0.75</v>
      </c>
      <c r="Q17" s="22" t="n">
        <v>22.279</v>
      </c>
      <c r="R17" s="22" t="n">
        <v>114.165</v>
      </c>
      <c r="S17" s="19" t="n">
        <v>16</v>
      </c>
      <c r="T17" s="20" t="n">
        <v>3500</v>
      </c>
      <c r="U17" s="20" t="n">
        <v>300</v>
      </c>
    </row>
    <row r="18">
      <c r="A18" s="15" t="inlineStr">
        <is>
          <t>Bangkok</t>
        </is>
      </c>
      <c r="B18" s="16" t="inlineStr">
        <is>
          <t>bangkok.html</t>
        </is>
      </c>
      <c r="C18" s="16" t="inlineStr">
        <is>
          <t>Other APAC</t>
        </is>
      </c>
      <c r="D18" s="17" t="inlineStr">
        <is>
          <t>TH</t>
        </is>
      </c>
      <c r="E18" s="18" t="n">
        <v>800</v>
      </c>
      <c r="F18" s="19" t="n">
        <v>3</v>
      </c>
      <c r="G18" s="19" t="n">
        <v>26</v>
      </c>
      <c r="H18" s="20" t="n">
        <v>160</v>
      </c>
      <c r="I18" s="11" t="n">
        <v>0.1</v>
      </c>
      <c r="J18" s="20" t="n">
        <v>5000</v>
      </c>
      <c r="K18" s="20" t="n">
        <v>43500</v>
      </c>
      <c r="L18" s="20" t="n">
        <v>20000</v>
      </c>
      <c r="M18" s="20" t="n">
        <v>15000</v>
      </c>
      <c r="N18" s="19" t="n">
        <v>3</v>
      </c>
      <c r="O18" s="21" t="n">
        <v>0.65</v>
      </c>
      <c r="P18" s="21" t="n">
        <v>0.75</v>
      </c>
      <c r="Q18" s="22" t="n">
        <v>13.745</v>
      </c>
      <c r="R18" s="22" t="n">
        <v>100.532</v>
      </c>
      <c r="S18" s="19" t="n">
        <v>45</v>
      </c>
      <c r="T18" s="20" t="n">
        <v>6500</v>
      </c>
      <c r="U18" s="20" t="n">
        <v>200</v>
      </c>
    </row>
    <row r="19">
      <c r="A19" s="15" t="inlineStr">
        <is>
          <t>Macau</t>
        </is>
      </c>
      <c r="B19" s="16" t="inlineStr">
        <is>
          <t>macau.html</t>
        </is>
      </c>
      <c r="C19" s="16" t="inlineStr">
        <is>
          <t>Other APAC</t>
        </is>
      </c>
      <c r="D19" s="17" t="inlineStr">
        <is>
          <t>MC</t>
        </is>
      </c>
      <c r="E19" s="18" t="n">
        <v>750</v>
      </c>
      <c r="F19" s="19" t="n">
        <v>3</v>
      </c>
      <c r="G19" s="19" t="n">
        <v>26</v>
      </c>
      <c r="H19" s="20" t="n">
        <v>130</v>
      </c>
      <c r="I19" s="11" t="n">
        <v>0.1</v>
      </c>
      <c r="J19" s="20" t="n">
        <v>1800</v>
      </c>
      <c r="K19" s="20" t="n">
        <v>44800</v>
      </c>
      <c r="L19" s="20" t="n">
        <v>18000</v>
      </c>
      <c r="M19" s="20" t="n">
        <v>5400</v>
      </c>
      <c r="N19" s="19" t="n">
        <v>3</v>
      </c>
      <c r="O19" s="21" t="n">
        <v>0.65</v>
      </c>
      <c r="P19" s="21" t="n">
        <v>0.75</v>
      </c>
      <c r="Q19" s="22" t="n">
        <v>22.197</v>
      </c>
      <c r="R19" s="22" t="n">
        <v>113.545</v>
      </c>
      <c r="S19" s="19" t="n">
        <v>38</v>
      </c>
      <c r="T19" s="20" t="n">
        <v>4500</v>
      </c>
      <c r="U19" s="20" t="n">
        <v>300</v>
      </c>
    </row>
    <row r="20">
      <c r="A20" s="15" t="inlineStr">
        <is>
          <t>Dubai</t>
        </is>
      </c>
      <c r="B20" s="16" t="inlineStr">
        <is>
          <t>dubai.html</t>
        </is>
      </c>
      <c r="C20" s="16" t="inlineStr">
        <is>
          <t>Middle East</t>
        </is>
      </c>
      <c r="D20" s="17" t="inlineStr">
        <is>
          <t>AE</t>
        </is>
      </c>
      <c r="E20" s="18" t="n">
        <v>800</v>
      </c>
      <c r="F20" s="19" t="n">
        <v>3</v>
      </c>
      <c r="G20" s="19" t="n">
        <v>26</v>
      </c>
      <c r="H20" s="20" t="n">
        <v>160</v>
      </c>
      <c r="I20" s="11" t="n">
        <v>0.1</v>
      </c>
      <c r="J20" s="20" t="n">
        <v>3500</v>
      </c>
      <c r="K20" s="20" t="n">
        <v>54400</v>
      </c>
      <c r="L20" s="20" t="n">
        <v>22000</v>
      </c>
      <c r="M20" s="20" t="n">
        <v>42000</v>
      </c>
      <c r="N20" s="19" t="n">
        <v>12</v>
      </c>
      <c r="O20" s="21" t="n">
        <v>0.65</v>
      </c>
      <c r="P20" s="21" t="n">
        <v>0.75</v>
      </c>
      <c r="Q20" s="22" t="n">
        <v>25.187</v>
      </c>
      <c r="R20" s="22" t="n">
        <v>55.274</v>
      </c>
      <c r="S20" s="19" t="n">
        <v>30</v>
      </c>
      <c r="T20" s="20" t="n">
        <v>8500</v>
      </c>
      <c r="U20" s="20" t="n">
        <v>300</v>
      </c>
    </row>
    <row r="21">
      <c r="A21" s="15" t="inlineStr">
        <is>
          <t>Taipei</t>
        </is>
      </c>
      <c r="B21" s="16" t="inlineStr">
        <is>
          <t>taipei.html</t>
        </is>
      </c>
      <c r="C21" s="16" t="inlineStr">
        <is>
          <t>Taiwan</t>
        </is>
      </c>
      <c r="D21" s="17" t="inlineStr">
        <is>
          <t>TW</t>
        </is>
      </c>
      <c r="E21" s="18" t="n">
        <v>850</v>
      </c>
      <c r="F21" s="19" t="n">
        <v>3</v>
      </c>
      <c r="G21" s="19" t="n">
        <v>26</v>
      </c>
      <c r="H21" s="20" t="n">
        <v>104</v>
      </c>
      <c r="I21" s="11" t="n">
        <v>0.1</v>
      </c>
      <c r="J21" s="20" t="n">
        <v>3400</v>
      </c>
      <c r="K21" s="20" t="n">
        <v>55800</v>
      </c>
      <c r="L21" s="20" t="n">
        <v>20000</v>
      </c>
      <c r="M21" s="20" t="n">
        <v>6600</v>
      </c>
      <c r="N21" s="19" t="n">
        <v>3</v>
      </c>
      <c r="O21" s="21" t="n">
        <v>0.65</v>
      </c>
      <c r="P21" s="21" t="n">
        <v>0.75</v>
      </c>
      <c r="Q21" s="22" t="n">
        <v>25.033</v>
      </c>
      <c r="R21" s="22" t="n">
        <v>121.565</v>
      </c>
      <c r="S21" s="19" t="n">
        <v>35</v>
      </c>
      <c r="T21" s="20" t="n">
        <v>5500</v>
      </c>
      <c r="U21" s="20" t="n">
        <v>200</v>
      </c>
    </row>
    <row r="22">
      <c r="A22" s="15" t="inlineStr">
        <is>
          <t>Taichung</t>
        </is>
      </c>
      <c r="B22" s="16" t="inlineStr">
        <is>
          <t>taichung.html</t>
        </is>
      </c>
      <c r="C22" s="16" t="inlineStr">
        <is>
          <t>Taiwan</t>
        </is>
      </c>
      <c r="D22" s="17" t="inlineStr">
        <is>
          <t>TW</t>
        </is>
      </c>
      <c r="E22" s="18" t="n">
        <v>800</v>
      </c>
      <c r="F22" s="19" t="n">
        <v>3</v>
      </c>
      <c r="G22" s="19" t="n">
        <v>26</v>
      </c>
      <c r="H22" s="20" t="n">
        <v>110</v>
      </c>
      <c r="I22" s="11" t="n">
        <v>0.1</v>
      </c>
      <c r="J22" s="20" t="n">
        <v>3000</v>
      </c>
      <c r="K22" s="20" t="n">
        <v>46500</v>
      </c>
      <c r="L22" s="20" t="n">
        <v>18000</v>
      </c>
      <c r="M22" s="20" t="n">
        <v>5400</v>
      </c>
      <c r="N22" s="19" t="n">
        <v>3</v>
      </c>
      <c r="O22" s="21" t="n">
        <v>0.65</v>
      </c>
      <c r="P22" s="21" t="n">
        <v>0.75</v>
      </c>
      <c r="Q22" s="22" t="n">
        <v>24.163</v>
      </c>
      <c r="R22" s="22" t="n">
        <v>120.647</v>
      </c>
      <c r="S22" s="19" t="n">
        <v>42</v>
      </c>
      <c r="T22" s="20" t="n">
        <v>5500</v>
      </c>
      <c r="U22" s="20" t="n">
        <v>200</v>
      </c>
    </row>
    <row r="23">
      <c r="A23" s="15" t="inlineStr">
        <is>
          <t>Kaohsiung</t>
        </is>
      </c>
      <c r="B23" s="16" t="inlineStr">
        <is>
          <t>kaohsiung.html</t>
        </is>
      </c>
      <c r="C23" s="16" t="inlineStr">
        <is>
          <t>Taiwan</t>
        </is>
      </c>
      <c r="D23" s="17" t="inlineStr">
        <is>
          <t>TW</t>
        </is>
      </c>
      <c r="E23" s="18" t="n">
        <v>800</v>
      </c>
      <c r="F23" s="19" t="n">
        <v>3</v>
      </c>
      <c r="G23" s="19" t="n">
        <v>26</v>
      </c>
      <c r="H23" s="20" t="n">
        <v>120</v>
      </c>
      <c r="I23" s="11" t="n">
        <v>0.1</v>
      </c>
      <c r="J23" s="20" t="n">
        <v>2000</v>
      </c>
      <c r="K23" s="20" t="n">
        <v>37200</v>
      </c>
      <c r="L23" s="20" t="n">
        <v>17000</v>
      </c>
      <c r="M23" s="20" t="n">
        <v>3600</v>
      </c>
      <c r="N23" s="19" t="n">
        <v>3</v>
      </c>
      <c r="O23" s="21" t="n">
        <v>0.65</v>
      </c>
      <c r="P23" s="21" t="n">
        <v>0.75</v>
      </c>
      <c r="Q23" s="22" t="n">
        <v>22.627</v>
      </c>
      <c r="R23" s="22" t="n">
        <v>120.302</v>
      </c>
      <c r="S23" s="19" t="n">
        <v>48</v>
      </c>
      <c r="T23" s="20" t="n">
        <v>5500</v>
      </c>
      <c r="U23" s="20" t="n">
        <v>200</v>
      </c>
    </row>
    <row r="24">
      <c r="A24" s="15" t="inlineStr">
        <is>
          <t>Tainan</t>
        </is>
      </c>
      <c r="B24" s="16" t="inlineStr">
        <is>
          <t>tainan.html</t>
        </is>
      </c>
      <c r="C24" s="16" t="inlineStr">
        <is>
          <t>Taiwan</t>
        </is>
      </c>
      <c r="D24" s="17" t="inlineStr">
        <is>
          <t>TW</t>
        </is>
      </c>
      <c r="E24" s="18" t="n">
        <v>750</v>
      </c>
      <c r="F24" s="19" t="n">
        <v>3</v>
      </c>
      <c r="G24" s="19" t="n">
        <v>26</v>
      </c>
      <c r="H24" s="20" t="n">
        <v>100</v>
      </c>
      <c r="I24" s="11" t="n">
        <v>0.1</v>
      </c>
      <c r="J24" s="20" t="n">
        <v>1500</v>
      </c>
      <c r="K24" s="20" t="n">
        <v>34100</v>
      </c>
      <c r="L24" s="20" t="n">
        <v>16000</v>
      </c>
      <c r="M24" s="20" t="n">
        <v>2700</v>
      </c>
      <c r="N24" s="19" t="n">
        <v>3</v>
      </c>
      <c r="O24" s="21" t="n">
        <v>0.65</v>
      </c>
      <c r="P24" s="21" t="n">
        <v>0.75</v>
      </c>
      <c r="Q24" s="22" t="n">
        <v>22.993</v>
      </c>
      <c r="R24" s="22" t="n">
        <v>120.202</v>
      </c>
      <c r="S24" s="19" t="n">
        <v>55</v>
      </c>
      <c r="T24" s="20" t="n">
        <v>5500</v>
      </c>
      <c r="U24" s="20" t="n">
        <v>200</v>
      </c>
    </row>
    <row r="25">
      <c r="A25" s="15" t="inlineStr">
        <is>
          <t>Fukuoka</t>
        </is>
      </c>
      <c r="B25" s="16" t="inlineStr">
        <is>
          <t>fukuoka.html</t>
        </is>
      </c>
      <c r="C25" s="16" t="inlineStr">
        <is>
          <t>Japan</t>
        </is>
      </c>
      <c r="D25" s="17" t="inlineStr">
        <is>
          <t>JP</t>
        </is>
      </c>
      <c r="E25" s="18" t="n">
        <v>800</v>
      </c>
      <c r="F25" s="19" t="n">
        <v>3</v>
      </c>
      <c r="G25" s="19" t="n">
        <v>22</v>
      </c>
      <c r="H25" s="20" t="n">
        <v>130</v>
      </c>
      <c r="I25" s="11" t="n">
        <v>0.1</v>
      </c>
      <c r="J25" s="20" t="n">
        <v>1600</v>
      </c>
      <c r="K25" s="20" t="n">
        <v>100500</v>
      </c>
      <c r="L25" s="20" t="n">
        <v>20000</v>
      </c>
      <c r="M25" s="20" t="n">
        <v>4800</v>
      </c>
      <c r="N25" s="19" t="n">
        <v>3</v>
      </c>
      <c r="O25" s="21" t="n">
        <v>0.65</v>
      </c>
      <c r="P25" s="21" t="n">
        <v>0.75</v>
      </c>
      <c r="Q25" s="22" t="n">
        <v>33.589</v>
      </c>
      <c r="R25" s="22" t="n">
        <v>130.398</v>
      </c>
      <c r="S25" s="19" t="n">
        <v>38</v>
      </c>
      <c r="T25" s="20" t="n">
        <v>7500</v>
      </c>
      <c r="U25" s="20" t="n">
        <v>300</v>
      </c>
    </row>
    <row r="26">
      <c r="A26" s="15" t="inlineStr">
        <is>
          <t>Okinawa</t>
        </is>
      </c>
      <c r="B26" s="16" t="inlineStr">
        <is>
          <t>okinawa.html</t>
        </is>
      </c>
      <c r="C26" s="16" t="inlineStr">
        <is>
          <t>Japan</t>
        </is>
      </c>
      <c r="D26" s="17" t="inlineStr">
        <is>
          <t>JP</t>
        </is>
      </c>
      <c r="E26" s="18" t="n">
        <v>800</v>
      </c>
      <c r="F26" s="19" t="n">
        <v>3</v>
      </c>
      <c r="G26" s="19" t="n">
        <v>22</v>
      </c>
      <c r="H26" s="20" t="n">
        <v>120</v>
      </c>
      <c r="I26" s="11" t="n">
        <v>0.1</v>
      </c>
      <c r="J26" s="20" t="n">
        <v>1100</v>
      </c>
      <c r="K26" s="20" t="n">
        <v>80400</v>
      </c>
      <c r="L26" s="20" t="n">
        <v>18000</v>
      </c>
      <c r="M26" s="20" t="n">
        <v>3300</v>
      </c>
      <c r="N26" s="19" t="n">
        <v>3</v>
      </c>
      <c r="O26" s="21" t="n">
        <v>0.65</v>
      </c>
      <c r="P26" s="21" t="n">
        <v>0.75</v>
      </c>
      <c r="Q26" s="22" t="n">
        <v>26.213</v>
      </c>
      <c r="R26" s="22" t="n">
        <v>127.679</v>
      </c>
      <c r="S26" s="19" t="n">
        <v>52</v>
      </c>
      <c r="T26" s="20" t="n">
        <v>7500</v>
      </c>
      <c r="U26" s="20" t="n">
        <v>300</v>
      </c>
    </row>
    <row r="27">
      <c r="A27" s="15" t="inlineStr">
        <is>
          <t>Busan</t>
        </is>
      </c>
      <c r="B27" s="16" t="inlineStr">
        <is>
          <t>busan.html</t>
        </is>
      </c>
      <c r="C27" s="16" t="inlineStr">
        <is>
          <t>South Korea</t>
        </is>
      </c>
      <c r="D27" s="17" t="inlineStr">
        <is>
          <t>KR</t>
        </is>
      </c>
      <c r="E27" s="18" t="n">
        <v>800</v>
      </c>
      <c r="F27" s="19" t="n">
        <v>3</v>
      </c>
      <c r="G27" s="19" t="n">
        <v>26</v>
      </c>
      <c r="H27" s="20" t="n">
        <v>100</v>
      </c>
      <c r="I27" s="11" t="n">
        <v>0.1</v>
      </c>
      <c r="J27" s="20" t="n">
        <v>2200</v>
      </c>
      <c r="K27" s="20" t="n">
        <v>58400</v>
      </c>
      <c r="L27" s="20" t="n">
        <v>18000</v>
      </c>
      <c r="M27" s="20" t="n">
        <v>6600</v>
      </c>
      <c r="N27" s="19" t="n">
        <v>3</v>
      </c>
      <c r="O27" s="21" t="n">
        <v>0.65</v>
      </c>
      <c r="P27" s="21" t="n">
        <v>0.75</v>
      </c>
      <c r="Q27" s="22" t="n">
        <v>35.158</v>
      </c>
      <c r="R27" s="22" t="n">
        <v>129.06</v>
      </c>
      <c r="S27" s="19" t="n">
        <v>45</v>
      </c>
      <c r="T27" s="20" t="n">
        <v>6000</v>
      </c>
      <c r="U27" s="20" t="n">
        <v>300</v>
      </c>
    </row>
    <row r="28">
      <c r="A28" s="15" t="inlineStr">
        <is>
          <t>Sydney</t>
        </is>
      </c>
      <c r="B28" s="16" t="inlineStr">
        <is>
          <t>sydney.html</t>
        </is>
      </c>
      <c r="C28" s="16" t="inlineStr">
        <is>
          <t>Australia</t>
        </is>
      </c>
      <c r="D28" s="17" t="inlineStr">
        <is>
          <t>AU</t>
        </is>
      </c>
      <c r="E28" s="18" t="n">
        <v>800</v>
      </c>
      <c r="F28" s="19" t="n">
        <v>3</v>
      </c>
      <c r="G28" s="19" t="n">
        <v>26</v>
      </c>
      <c r="H28" s="20" t="n">
        <v>250</v>
      </c>
      <c r="I28" s="11" t="n">
        <v>0.1</v>
      </c>
      <c r="J28" s="20" t="n">
        <v>3200</v>
      </c>
      <c r="K28" s="20" t="n">
        <v>91000</v>
      </c>
      <c r="L28" s="20" t="n">
        <v>22000</v>
      </c>
      <c r="M28" s="20" t="n">
        <v>9600</v>
      </c>
      <c r="N28" s="19" t="n">
        <v>3</v>
      </c>
      <c r="O28" s="21" t="n">
        <v>0.65</v>
      </c>
      <c r="P28" s="21" t="n">
        <v>0.75</v>
      </c>
      <c r="Q28" s="22" t="n">
        <v>-33.869</v>
      </c>
      <c r="R28" s="22" t="n">
        <v>151.207</v>
      </c>
      <c r="S28" s="19" t="n">
        <v>30</v>
      </c>
      <c r="T28" s="20" t="n">
        <v>4500</v>
      </c>
      <c r="U28" s="20" t="n">
        <v>300</v>
      </c>
    </row>
    <row r="29">
      <c r="A29" s="15" t="inlineStr">
        <is>
          <t>Melbourne</t>
        </is>
      </c>
      <c r="B29" s="16" t="inlineStr">
        <is>
          <t>melbourne.html</t>
        </is>
      </c>
      <c r="C29" s="16" t="inlineStr">
        <is>
          <t>Australia</t>
        </is>
      </c>
      <c r="D29" s="17" t="inlineStr">
        <is>
          <t>AU</t>
        </is>
      </c>
      <c r="E29" s="18" t="n">
        <v>800</v>
      </c>
      <c r="F29" s="19" t="n">
        <v>3</v>
      </c>
      <c r="G29" s="19" t="n">
        <v>26</v>
      </c>
      <c r="H29" s="20" t="n">
        <v>220</v>
      </c>
      <c r="I29" s="11" t="n">
        <v>0.1</v>
      </c>
      <c r="J29" s="20" t="n">
        <v>3500</v>
      </c>
      <c r="K29" s="20" t="n">
        <v>87750</v>
      </c>
      <c r="L29" s="20" t="n">
        <v>22000</v>
      </c>
      <c r="M29" s="20" t="n">
        <v>10500</v>
      </c>
      <c r="N29" s="19" t="n">
        <v>3</v>
      </c>
      <c r="O29" s="21" t="n">
        <v>0.65</v>
      </c>
      <c r="P29" s="21" t="n">
        <v>0.75</v>
      </c>
      <c r="Q29" s="22" t="n">
        <v>-37.814</v>
      </c>
      <c r="R29" s="22" t="n">
        <v>144.963</v>
      </c>
      <c r="S29" s="19" t="n">
        <v>32</v>
      </c>
      <c r="T29" s="20" t="n">
        <v>4500</v>
      </c>
      <c r="U29" s="20" t="n">
        <v>300</v>
      </c>
    </row>
    <row r="30">
      <c r="A30" s="15" t="inlineStr">
        <is>
          <t>Brisbane</t>
        </is>
      </c>
      <c r="B30" s="16" t="inlineStr">
        <is>
          <t>brisbane.html</t>
        </is>
      </c>
      <c r="C30" s="16" t="inlineStr">
        <is>
          <t>Australia</t>
        </is>
      </c>
      <c r="D30" s="17" t="inlineStr">
        <is>
          <t>AU</t>
        </is>
      </c>
      <c r="E30" s="18" t="n">
        <v>800</v>
      </c>
      <c r="F30" s="19" t="n">
        <v>3</v>
      </c>
      <c r="G30" s="19" t="n">
        <v>26</v>
      </c>
      <c r="H30" s="20" t="n">
        <v>240</v>
      </c>
      <c r="I30" s="11" t="n">
        <v>0.1</v>
      </c>
      <c r="J30" s="20" t="n">
        <v>2800</v>
      </c>
      <c r="K30" s="20" t="n">
        <v>78000</v>
      </c>
      <c r="L30" s="20" t="n">
        <v>20000</v>
      </c>
      <c r="M30" s="20" t="n">
        <v>8400</v>
      </c>
      <c r="N30" s="19" t="n">
        <v>3</v>
      </c>
      <c r="O30" s="21" t="n">
        <v>0.65</v>
      </c>
      <c r="P30" s="21" t="n">
        <v>0.75</v>
      </c>
      <c r="Q30" s="22" t="n">
        <v>-27.47</v>
      </c>
      <c r="R30" s="22" t="n">
        <v>153.026</v>
      </c>
      <c r="S30" s="19" t="n">
        <v>36</v>
      </c>
      <c r="T30" s="20" t="n">
        <v>4500</v>
      </c>
      <c r="U30" s="20" t="n">
        <v>300</v>
      </c>
    </row>
    <row r="31">
      <c r="A31" s="15" t="inlineStr">
        <is>
          <t>Perth</t>
        </is>
      </c>
      <c r="B31" s="16" t="inlineStr">
        <is>
          <t>perth.html</t>
        </is>
      </c>
      <c r="C31" s="16" t="inlineStr">
        <is>
          <t>Australia</t>
        </is>
      </c>
      <c r="D31" s="17" t="inlineStr">
        <is>
          <t>AU</t>
        </is>
      </c>
      <c r="E31" s="18" t="n">
        <v>800</v>
      </c>
      <c r="F31" s="19" t="n">
        <v>3</v>
      </c>
      <c r="G31" s="19" t="n">
        <v>26</v>
      </c>
      <c r="H31" s="20" t="n">
        <v>200</v>
      </c>
      <c r="I31" s="11" t="n">
        <v>0.1</v>
      </c>
      <c r="J31" s="20" t="n">
        <v>2000</v>
      </c>
      <c r="K31" s="20" t="n">
        <v>74750</v>
      </c>
      <c r="L31" s="20" t="n">
        <v>19000</v>
      </c>
      <c r="M31" s="20" t="n">
        <v>6000</v>
      </c>
      <c r="N31" s="19" t="n">
        <v>3</v>
      </c>
      <c r="O31" s="21" t="n">
        <v>0.65</v>
      </c>
      <c r="P31" s="21" t="n">
        <v>0.75</v>
      </c>
      <c r="Q31" s="22" t="n">
        <v>-31.953</v>
      </c>
      <c r="R31" s="22" t="n">
        <v>115.857</v>
      </c>
      <c r="S31" s="19" t="n">
        <v>38</v>
      </c>
      <c r="T31" s="20" t="n">
        <v>4500</v>
      </c>
      <c r="U31" s="20" t="n">
        <v>300</v>
      </c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9">
    <mergeCell ref="O3:P3"/>
    <mergeCell ref="J3:N3"/>
    <mergeCell ref="A2:U2"/>
    <mergeCell ref="Q3:S3"/>
    <mergeCell ref="A3:D3"/>
    <mergeCell ref="E3:G3"/>
    <mergeCell ref="A1:U1"/>
    <mergeCell ref="T3:U3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1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12" customWidth="1" min="19" max="19"/>
    <col width="14" customWidth="1" min="20" max="20"/>
    <col width="14" customWidth="1" min="21" max="21"/>
    <col width="16" customWidth="1" min="22" max="22"/>
    <col width="12" customWidth="1" min="23" max="23"/>
    <col width="11" customWidth="1" min="24" max="24"/>
    <col width="11" customWidth="1" min="25" max="25"/>
    <col width="14" customWidth="1" min="26" max="26"/>
    <col width="13" customWidth="1" min="27" max="27"/>
    <col width="13" customWidth="1" min="28" max="28"/>
    <col width="14" customWidth="1" min="29" max="29"/>
    <col width="14" customWidth="1" min="30" max="30"/>
    <col width="14" customWidth="1" min="31" max="31"/>
    <col width="14" customWidth="1" min="32" max="32"/>
    <col width="12" customWidth="1" min="33" max="33"/>
    <col width="12" customWidth="1" min="34" max="34"/>
    <col width="12" customWidth="1" min="35" max="35"/>
    <col width="13" customWidth="1" min="36" max="36"/>
    <col width="12" customWidth="1" min="37" max="37"/>
    <col width="12" customWidth="1" min="38" max="38"/>
  </cols>
  <sheetData>
    <row r="1" ht="32" customHeight="1">
      <c r="A1" s="6" t="inlineStr">
        <is>
          <t>Oasis Salon — Calculated Financial Model (Auto-Generated from Cities Sheet)</t>
        </is>
      </c>
    </row>
    <row r="2">
      <c r="A2" s="23" t="inlineStr">
        <is>
          <t>🔒 Do not edit this sheet directly — change inputs in Cities sheet. BLUE = formula cells.</t>
        </is>
      </c>
    </row>
    <row r="3" ht="24" customHeight="1">
      <c r="A3" s="14" t="inlineStr">
        <is>
          <t>IDENTITY</t>
        </is>
      </c>
      <c r="B3" s="31" t="n"/>
      <c r="C3" s="14" t="inlineStr">
        <is>
          <t>SPACE &amp; SEATS</t>
        </is>
      </c>
      <c r="D3" s="30" t="n"/>
      <c r="E3" s="31" t="n"/>
      <c r="F3" s="14" t="inlineStr">
        <is>
          <t>STAFFING MODEL</t>
        </is>
      </c>
      <c r="G3" s="30" t="n"/>
      <c r="H3" s="30" t="n"/>
      <c r="I3" s="30" t="n"/>
      <c r="J3" s="31" t="n"/>
      <c r="K3" s="14" t="inlineStr">
        <is>
          <t>COUNTRY RATES</t>
        </is>
      </c>
      <c r="L3" s="30" t="n"/>
      <c r="M3" s="30" t="n"/>
      <c r="N3" s="30" t="n"/>
      <c r="O3" s="31" t="n"/>
      <c r="P3" s="14" t="inlineStr">
        <is>
          <t>STAFF COST</t>
        </is>
      </c>
      <c r="Q3" s="14" t="inlineStr">
        <is>
          <t>MONTHLY OPEX</t>
        </is>
      </c>
      <c r="R3" s="30" t="n"/>
      <c r="S3" s="30" t="n"/>
      <c r="T3" s="30" t="n"/>
      <c r="U3" s="30" t="n"/>
      <c r="V3" s="31" t="n"/>
      <c r="W3" s="14" t="inlineStr">
        <is>
          <t>CAPACITY</t>
        </is>
      </c>
      <c r="X3" s="30" t="n"/>
      <c r="Y3" s="31" t="n"/>
      <c r="Z3" s="14" t="inlineStr">
        <is>
          <t>UNIT ECONOMICS</t>
        </is>
      </c>
      <c r="AA3" s="30" t="n"/>
      <c r="AB3" s="31" t="n"/>
      <c r="AC3" s="14" t="inlineStr">
        <is>
          <t>PROFIT &amp; CASH FLOW</t>
        </is>
      </c>
      <c r="AD3" s="30" t="n"/>
      <c r="AE3" s="30" t="n"/>
      <c r="AF3" s="31" t="n"/>
      <c r="AG3" s="14" t="inlineStr">
        <is>
          <t>CAPEX &amp; PAYBACK</t>
        </is>
      </c>
      <c r="AH3" s="30" t="n"/>
      <c r="AI3" s="30" t="n"/>
      <c r="AJ3" s="31" t="n"/>
      <c r="AK3" s="14" t="inlineStr">
        <is>
          <t>RATIO</t>
        </is>
      </c>
      <c r="AL3" s="14" t="inlineStr">
        <is>
          <t>VIABLE?</t>
        </is>
      </c>
    </row>
    <row r="4" ht="48" customHeight="1">
      <c r="A4" s="8" t="inlineStr">
        <is>
          <t>City Name</t>
        </is>
      </c>
      <c r="B4" s="8" t="inlineStr">
        <is>
          <t>Country</t>
        </is>
      </c>
      <c r="C4" s="8" t="inlineStr">
        <is>
          <t>Stations</t>
        </is>
      </c>
      <c r="D4" s="8" t="inlineStr">
        <is>
          <t>Color Bar
Seats</t>
        </is>
      </c>
      <c r="E4" s="8" t="inlineStr">
        <is>
          <t>Total
Seats</t>
        </is>
      </c>
      <c r="F4" s="8" t="inlineStr">
        <is>
          <t>Wash
Basins</t>
        </is>
      </c>
      <c r="G4" s="8" t="inlineStr">
        <is>
          <t>Seniors</t>
        </is>
      </c>
      <c r="H4" s="8" t="inlineStr">
        <is>
          <t>Juniors</t>
        </is>
      </c>
      <c r="I4" s="8" t="inlineStr">
        <is>
          <t>Assistants</t>
        </is>
      </c>
      <c r="J4" s="8" t="inlineStr">
        <is>
          <t>Total
Staff</t>
        </is>
      </c>
      <c r="K4" s="8" t="inlineStr">
        <is>
          <t>Tax Rate</t>
        </is>
      </c>
      <c r="L4" s="8" t="inlineStr">
        <is>
          <t>Senior
(USD/mo)</t>
        </is>
      </c>
      <c r="M4" s="8" t="inlineStr">
        <is>
          <t>Junior
(USD/mo)</t>
        </is>
      </c>
      <c r="N4" s="8" t="inlineStr">
        <is>
          <t>Assistant
(USD/mo)</t>
        </is>
      </c>
      <c r="O4" s="8" t="inlineStr">
        <is>
          <t>Manager
(USD/mo)</t>
        </is>
      </c>
      <c r="P4" s="8" t="inlineStr">
        <is>
          <t>Total Staff
Cost (USD/mo)</t>
        </is>
      </c>
      <c r="Q4" s="8" t="inlineStr">
        <is>
          <t>Rent
(USD/mo)</t>
        </is>
      </c>
      <c r="R4" s="8" t="inlineStr">
        <is>
          <t>Utilities
(USD/mo)</t>
        </is>
      </c>
      <c r="S4" s="8" t="inlineStr">
        <is>
          <t>Mktg+Misc
(USD/mo)</t>
        </is>
      </c>
      <c r="T4" s="8" t="inlineStr">
        <is>
          <t>Admin &amp; SW
(USD/mo)</t>
        </is>
      </c>
      <c r="U4" s="8" t="inlineStr">
        <is>
          <t>Monthly
Deprec (USD)</t>
        </is>
      </c>
      <c r="V4" s="8" t="inlineStr">
        <is>
          <t>Total Cash
OPEX (USD/mo)</t>
        </is>
      </c>
      <c r="W4" s="8" t="inlineStr">
        <is>
          <t>Max
Capacity</t>
        </is>
      </c>
      <c r="X4" s="8" t="inlineStr">
        <is>
          <t>Y1 Clients
(65%)</t>
        </is>
      </c>
      <c r="Y4" s="8" t="inlineStr">
        <is>
          <t>Y2 Clients
(75%)</t>
        </is>
      </c>
      <c r="Z4" s="8" t="inlineStr">
        <is>
          <t>Breakeven
(clients/mo)</t>
        </is>
      </c>
      <c r="AA4" s="8" t="inlineStr">
        <is>
          <t>COGS/session</t>
        </is>
      </c>
      <c r="AB4" s="8" t="inlineStr">
        <is>
          <t>GM/session
(90%)</t>
        </is>
      </c>
      <c r="AC4" s="8" t="inlineStr">
        <is>
          <t>Y1 Monthly
PAT (USD)</t>
        </is>
      </c>
      <c r="AD4" s="8" t="inlineStr">
        <is>
          <t>Y2 Monthly
PAT (USD)</t>
        </is>
      </c>
      <c r="AE4" s="8" t="inlineStr">
        <is>
          <t>Y1 Monthly
CashFlow (USD)</t>
        </is>
      </c>
      <c r="AF4" s="8" t="inlineStr">
        <is>
          <t>Y2 Monthly
CashFlow (USD)</t>
        </is>
      </c>
      <c r="AG4" s="8" t="inlineStr">
        <is>
          <t>CAPEX Low</t>
        </is>
      </c>
      <c r="AH4" s="8" t="inlineStr">
        <is>
          <t>CAPEX High</t>
        </is>
      </c>
      <c r="AI4" s="8" t="inlineStr">
        <is>
          <t>CAPEX Mid</t>
        </is>
      </c>
      <c r="AJ4" s="8" t="inlineStr">
        <is>
          <t>Payback
(months)</t>
        </is>
      </c>
      <c r="AK4" s="8" t="inlineStr">
        <is>
          <t>PAT/OPEX
(%)</t>
        </is>
      </c>
      <c r="AL4" s="8" t="inlineStr">
        <is>
          <t>VIABLE?
(BE &lt; 80%cap)</t>
        </is>
      </c>
    </row>
    <row r="5">
      <c r="A5" s="15">
        <f>Cities!A5</f>
        <v/>
      </c>
      <c r="B5" s="9">
        <f>Cities!D5</f>
        <v/>
      </c>
      <c r="C5" s="24">
        <f>IF(Cities!E5&lt;=750,3,IF(Cities!E5&lt;=850,4,5))</f>
        <v/>
      </c>
      <c r="D5" s="24">
        <f>C5-1</f>
        <v/>
      </c>
      <c r="E5" s="24">
        <f>C5+D5</f>
        <v/>
      </c>
      <c r="F5" s="24">
        <f>IF(C5&lt;=4,2,3)</f>
        <v/>
      </c>
      <c r="G5" s="24">
        <f>IF(C5&lt;=4,2,3)</f>
        <v/>
      </c>
      <c r="H5" s="24">
        <f>C5-G5</f>
        <v/>
      </c>
      <c r="I5" s="24">
        <f>CEILING(C5/2,1)</f>
        <v/>
      </c>
      <c r="J5" s="24">
        <f>G5+H5+I5+1</f>
        <v/>
      </c>
      <c r="K5" s="25">
        <f>VLOOKUP(Cities!D5,Country!$A$4:$H$14,3,FALSE)</f>
        <v/>
      </c>
      <c r="L5" s="26">
        <f>VLOOKUP(Cities!D5,Country!$A$4:$H$14,5,FALSE)</f>
        <v/>
      </c>
      <c r="M5" s="26">
        <f>VLOOKUP(Cities!D5,Country!$A$4:$H$14,6,FALSE)</f>
        <v/>
      </c>
      <c r="N5" s="26">
        <f>VLOOKUP(Cities!D5,Country!$A$4:$H$14,7,FALSE)</f>
        <v/>
      </c>
      <c r="O5" s="26">
        <f>VLOOKUP(Cities!D5,Country!$A$4:$H$14,8,FALSE)</f>
        <v/>
      </c>
      <c r="P5" s="26">
        <f>G5*L5+H5*M5+I5*N5+O5</f>
        <v/>
      </c>
      <c r="Q5" s="26">
        <f>Cities!J5</f>
        <v/>
      </c>
      <c r="R5" s="26">
        <f>200+C5*80</f>
        <v/>
      </c>
      <c r="S5" s="26">
        <f>350+C5*50+300+C5*30</f>
        <v/>
      </c>
      <c r="T5" s="26">
        <f>Cities!U5</f>
        <v/>
      </c>
      <c r="U5" s="26">
        <f>Cities!L5/60</f>
        <v/>
      </c>
      <c r="V5" s="26">
        <f>Q5+P5+R5+S5+T5</f>
        <v/>
      </c>
      <c r="W5" s="24">
        <f>C5*Cities!F5*Cities!G5</f>
        <v/>
      </c>
      <c r="X5" s="24">
        <f>INT(W5*Cities!O5)</f>
        <v/>
      </c>
      <c r="Y5" s="24">
        <f>INT(W5*Cities!P5)</f>
        <v/>
      </c>
      <c r="Z5" s="24">
        <f>CEILING((V5+U5)/AB5,1)</f>
        <v/>
      </c>
      <c r="AA5" s="27">
        <f>Cities!H5*Cities!I5</f>
        <v/>
      </c>
      <c r="AB5" s="27">
        <f>Cities!H5-AA5</f>
        <v/>
      </c>
      <c r="AC5" s="26">
        <f>IF((X5*AB5-V5-U5)&gt;0, (X5*AB5-V5-U5)*(1-K5), X5*AB5-V5-U5)</f>
        <v/>
      </c>
      <c r="AD5" s="26">
        <f>IF((Y5*AB5-V5-U5)&gt;0, (Y5*AB5-V5-U5)*(1-K5), Y5*AB5-V5-U5)</f>
        <v/>
      </c>
      <c r="AE5" s="26">
        <f>AC5+U5</f>
        <v/>
      </c>
      <c r="AF5" s="26">
        <f>AD5+U5</f>
        <v/>
      </c>
      <c r="AG5" s="26">
        <f>FLOOR((Cities!K5+Cities!L5+Cities!M5+Cities!T5+Cities!J5*Cities!N5)*0.92,5000)</f>
        <v/>
      </c>
      <c r="AH5" s="26">
        <f>CEILING((Cities!K5+Cities!L5+Cities!M5+Cities!T5+Cities!J5*Cities!N5)*1.08,5000)</f>
        <v/>
      </c>
      <c r="AI5" s="26">
        <f>(AG5+AH5)/2</f>
        <v/>
      </c>
      <c r="AJ5" s="24">
        <f>IF(AE5*12&gt;=AI5, IF(AE5&gt;0,CEILING(AI5/AE5,1),999), IF(AF5&gt;0,12+CEILING((AI5-AE5*12)/AF5,1),999))</f>
        <v/>
      </c>
      <c r="AK5" s="28">
        <f>IF(V5&gt;0,AD5/V5,0)</f>
        <v/>
      </c>
      <c r="AL5" s="29">
        <f>IF(Z5&lt;W5*0.8,"✓ YES","⚠ TIGHT")</f>
        <v/>
      </c>
    </row>
    <row r="6">
      <c r="A6" s="15">
        <f>Cities!A6</f>
        <v/>
      </c>
      <c r="B6" s="9">
        <f>Cities!D6</f>
        <v/>
      </c>
      <c r="C6" s="24">
        <f>IF(Cities!E6&lt;=750,3,IF(Cities!E6&lt;=850,4,5))</f>
        <v/>
      </c>
      <c r="D6" s="24">
        <f>C6-1</f>
        <v/>
      </c>
      <c r="E6" s="24">
        <f>C6+D6</f>
        <v/>
      </c>
      <c r="F6" s="24">
        <f>IF(C6&lt;=4,2,3)</f>
        <v/>
      </c>
      <c r="G6" s="24">
        <f>IF(C6&lt;=4,2,3)</f>
        <v/>
      </c>
      <c r="H6" s="24">
        <f>C6-G6</f>
        <v/>
      </c>
      <c r="I6" s="24">
        <f>CEILING(C6/2,1)</f>
        <v/>
      </c>
      <c r="J6" s="24">
        <f>G6+H6+I6+1</f>
        <v/>
      </c>
      <c r="K6" s="25">
        <f>VLOOKUP(Cities!D6,Country!$A$4:$H$14,3,FALSE)</f>
        <v/>
      </c>
      <c r="L6" s="26">
        <f>VLOOKUP(Cities!D6,Country!$A$4:$H$14,5,FALSE)</f>
        <v/>
      </c>
      <c r="M6" s="26">
        <f>VLOOKUP(Cities!D6,Country!$A$4:$H$14,6,FALSE)</f>
        <v/>
      </c>
      <c r="N6" s="26">
        <f>VLOOKUP(Cities!D6,Country!$A$4:$H$14,7,FALSE)</f>
        <v/>
      </c>
      <c r="O6" s="26">
        <f>VLOOKUP(Cities!D6,Country!$A$4:$H$14,8,FALSE)</f>
        <v/>
      </c>
      <c r="P6" s="26">
        <f>G6*L6+H6*M6+I6*N6+O6</f>
        <v/>
      </c>
      <c r="Q6" s="26">
        <f>Cities!J6</f>
        <v/>
      </c>
      <c r="R6" s="26">
        <f>200+C6*80</f>
        <v/>
      </c>
      <c r="S6" s="26">
        <f>350+C6*50+300+C6*30</f>
        <v/>
      </c>
      <c r="T6" s="26">
        <f>Cities!U6</f>
        <v/>
      </c>
      <c r="U6" s="26">
        <f>Cities!L6/60</f>
        <v/>
      </c>
      <c r="V6" s="26">
        <f>Q6+P6+R6+S6+T6</f>
        <v/>
      </c>
      <c r="W6" s="24">
        <f>C6*Cities!F6*Cities!G6</f>
        <v/>
      </c>
      <c r="X6" s="24">
        <f>INT(W6*Cities!O6)</f>
        <v/>
      </c>
      <c r="Y6" s="24">
        <f>INT(W6*Cities!P6)</f>
        <v/>
      </c>
      <c r="Z6" s="24">
        <f>CEILING((V6+U6)/AB6,1)</f>
        <v/>
      </c>
      <c r="AA6" s="27">
        <f>Cities!H6*Cities!I6</f>
        <v/>
      </c>
      <c r="AB6" s="27">
        <f>Cities!H6-AA6</f>
        <v/>
      </c>
      <c r="AC6" s="26">
        <f>IF((X6*AB6-V6-U6)&gt;0, (X6*AB6-V6-U6)*(1-K6), X6*AB6-V6-U6)</f>
        <v/>
      </c>
      <c r="AD6" s="26">
        <f>IF((Y6*AB6-V6-U6)&gt;0, (Y6*AB6-V6-U6)*(1-K6), Y6*AB6-V6-U6)</f>
        <v/>
      </c>
      <c r="AE6" s="26">
        <f>AC6+U6</f>
        <v/>
      </c>
      <c r="AF6" s="26">
        <f>AD6+U6</f>
        <v/>
      </c>
      <c r="AG6" s="26">
        <f>FLOOR((Cities!K6+Cities!L6+Cities!M6+Cities!T6+Cities!J6*Cities!N6)*0.92,5000)</f>
        <v/>
      </c>
      <c r="AH6" s="26">
        <f>CEILING((Cities!K6+Cities!L6+Cities!M6+Cities!T6+Cities!J6*Cities!N6)*1.08,5000)</f>
        <v/>
      </c>
      <c r="AI6" s="26">
        <f>(AG6+AH6)/2</f>
        <v/>
      </c>
      <c r="AJ6" s="24">
        <f>IF(AE6*12&gt;=AI6, IF(AE6&gt;0,CEILING(AI6/AE6,1),999), IF(AF6&gt;0,12+CEILING((AI6-AE6*12)/AF6,1),999))</f>
        <v/>
      </c>
      <c r="AK6" s="28">
        <f>IF(V6&gt;0,AD6/V6,0)</f>
        <v/>
      </c>
      <c r="AL6" s="29">
        <f>IF(Z6&lt;W6*0.8,"✓ YES","⚠ TIGHT")</f>
        <v/>
      </c>
    </row>
    <row r="7">
      <c r="A7" s="15">
        <f>Cities!A7</f>
        <v/>
      </c>
      <c r="B7" s="9">
        <f>Cities!D7</f>
        <v/>
      </c>
      <c r="C7" s="24">
        <f>IF(Cities!E7&lt;=750,3,IF(Cities!E7&lt;=850,4,5))</f>
        <v/>
      </c>
      <c r="D7" s="24">
        <f>C7-1</f>
        <v/>
      </c>
      <c r="E7" s="24">
        <f>C7+D7</f>
        <v/>
      </c>
      <c r="F7" s="24">
        <f>IF(C7&lt;=4,2,3)</f>
        <v/>
      </c>
      <c r="G7" s="24">
        <f>IF(C7&lt;=4,2,3)</f>
        <v/>
      </c>
      <c r="H7" s="24">
        <f>C7-G7</f>
        <v/>
      </c>
      <c r="I7" s="24">
        <f>CEILING(C7/2,1)</f>
        <v/>
      </c>
      <c r="J7" s="24">
        <f>G7+H7+I7+1</f>
        <v/>
      </c>
      <c r="K7" s="25">
        <f>VLOOKUP(Cities!D7,Country!$A$4:$H$14,3,FALSE)</f>
        <v/>
      </c>
      <c r="L7" s="26">
        <f>VLOOKUP(Cities!D7,Country!$A$4:$H$14,5,FALSE)</f>
        <v/>
      </c>
      <c r="M7" s="26">
        <f>VLOOKUP(Cities!D7,Country!$A$4:$H$14,6,FALSE)</f>
        <v/>
      </c>
      <c r="N7" s="26">
        <f>VLOOKUP(Cities!D7,Country!$A$4:$H$14,7,FALSE)</f>
        <v/>
      </c>
      <c r="O7" s="26">
        <f>VLOOKUP(Cities!D7,Country!$A$4:$H$14,8,FALSE)</f>
        <v/>
      </c>
      <c r="P7" s="26">
        <f>G7*L7+H7*M7+I7*N7+O7</f>
        <v/>
      </c>
      <c r="Q7" s="26">
        <f>Cities!J7</f>
        <v/>
      </c>
      <c r="R7" s="26">
        <f>200+C7*80</f>
        <v/>
      </c>
      <c r="S7" s="26">
        <f>350+C7*50+300+C7*30</f>
        <v/>
      </c>
      <c r="T7" s="26">
        <f>Cities!U7</f>
        <v/>
      </c>
      <c r="U7" s="26">
        <f>Cities!L7/60</f>
        <v/>
      </c>
      <c r="V7" s="26">
        <f>Q7+P7+R7+S7+T7</f>
        <v/>
      </c>
      <c r="W7" s="24">
        <f>C7*Cities!F7*Cities!G7</f>
        <v/>
      </c>
      <c r="X7" s="24">
        <f>INT(W7*Cities!O7)</f>
        <v/>
      </c>
      <c r="Y7" s="24">
        <f>INT(W7*Cities!P7)</f>
        <v/>
      </c>
      <c r="Z7" s="24">
        <f>CEILING((V7+U7)/AB7,1)</f>
        <v/>
      </c>
      <c r="AA7" s="27">
        <f>Cities!H7*Cities!I7</f>
        <v/>
      </c>
      <c r="AB7" s="27">
        <f>Cities!H7-AA7</f>
        <v/>
      </c>
      <c r="AC7" s="26">
        <f>IF((X7*AB7-V7-U7)&gt;0, (X7*AB7-V7-U7)*(1-K7), X7*AB7-V7-U7)</f>
        <v/>
      </c>
      <c r="AD7" s="26">
        <f>IF((Y7*AB7-V7-U7)&gt;0, (Y7*AB7-V7-U7)*(1-K7), Y7*AB7-V7-U7)</f>
        <v/>
      </c>
      <c r="AE7" s="26">
        <f>AC7+U7</f>
        <v/>
      </c>
      <c r="AF7" s="26">
        <f>AD7+U7</f>
        <v/>
      </c>
      <c r="AG7" s="26">
        <f>FLOOR((Cities!K7+Cities!L7+Cities!M7+Cities!T7+Cities!J7*Cities!N7)*0.92,5000)</f>
        <v/>
      </c>
      <c r="AH7" s="26">
        <f>CEILING((Cities!K7+Cities!L7+Cities!M7+Cities!T7+Cities!J7*Cities!N7)*1.08,5000)</f>
        <v/>
      </c>
      <c r="AI7" s="26">
        <f>(AG7+AH7)/2</f>
        <v/>
      </c>
      <c r="AJ7" s="24">
        <f>IF(AE7*12&gt;=AI7, IF(AE7&gt;0,CEILING(AI7/AE7,1),999), IF(AF7&gt;0,12+CEILING((AI7-AE7*12)/AF7,1),999))</f>
        <v/>
      </c>
      <c r="AK7" s="28">
        <f>IF(V7&gt;0,AD7/V7,0)</f>
        <v/>
      </c>
      <c r="AL7" s="29">
        <f>IF(Z7&lt;W7*0.8,"✓ YES","⚠ TIGHT")</f>
        <v/>
      </c>
    </row>
    <row r="8">
      <c r="A8" s="15">
        <f>Cities!A8</f>
        <v/>
      </c>
      <c r="B8" s="9">
        <f>Cities!D8</f>
        <v/>
      </c>
      <c r="C8" s="24">
        <f>IF(Cities!E8&lt;=750,3,IF(Cities!E8&lt;=850,4,5))</f>
        <v/>
      </c>
      <c r="D8" s="24">
        <f>C8-1</f>
        <v/>
      </c>
      <c r="E8" s="24">
        <f>C8+D8</f>
        <v/>
      </c>
      <c r="F8" s="24">
        <f>IF(C8&lt;=4,2,3)</f>
        <v/>
      </c>
      <c r="G8" s="24">
        <f>IF(C8&lt;=4,2,3)</f>
        <v/>
      </c>
      <c r="H8" s="24">
        <f>C8-G8</f>
        <v/>
      </c>
      <c r="I8" s="24">
        <f>CEILING(C8/2,1)</f>
        <v/>
      </c>
      <c r="J8" s="24">
        <f>G8+H8+I8+1</f>
        <v/>
      </c>
      <c r="K8" s="25">
        <f>VLOOKUP(Cities!D8,Country!$A$4:$H$14,3,FALSE)</f>
        <v/>
      </c>
      <c r="L8" s="26">
        <f>VLOOKUP(Cities!D8,Country!$A$4:$H$14,5,FALSE)</f>
        <v/>
      </c>
      <c r="M8" s="26">
        <f>VLOOKUP(Cities!D8,Country!$A$4:$H$14,6,FALSE)</f>
        <v/>
      </c>
      <c r="N8" s="26">
        <f>VLOOKUP(Cities!D8,Country!$A$4:$H$14,7,FALSE)</f>
        <v/>
      </c>
      <c r="O8" s="26">
        <f>VLOOKUP(Cities!D8,Country!$A$4:$H$14,8,FALSE)</f>
        <v/>
      </c>
      <c r="P8" s="26">
        <f>G8*L8+H8*M8+I8*N8+O8</f>
        <v/>
      </c>
      <c r="Q8" s="26">
        <f>Cities!J8</f>
        <v/>
      </c>
      <c r="R8" s="26">
        <f>200+C8*80</f>
        <v/>
      </c>
      <c r="S8" s="26">
        <f>350+C8*50+300+C8*30</f>
        <v/>
      </c>
      <c r="T8" s="26">
        <f>Cities!U8</f>
        <v/>
      </c>
      <c r="U8" s="26">
        <f>Cities!L8/60</f>
        <v/>
      </c>
      <c r="V8" s="26">
        <f>Q8+P8+R8+S8+T8</f>
        <v/>
      </c>
      <c r="W8" s="24">
        <f>C8*Cities!F8*Cities!G8</f>
        <v/>
      </c>
      <c r="X8" s="24">
        <f>INT(W8*Cities!O8)</f>
        <v/>
      </c>
      <c r="Y8" s="24">
        <f>INT(W8*Cities!P8)</f>
        <v/>
      </c>
      <c r="Z8" s="24">
        <f>CEILING((V8+U8)/AB8,1)</f>
        <v/>
      </c>
      <c r="AA8" s="27">
        <f>Cities!H8*Cities!I8</f>
        <v/>
      </c>
      <c r="AB8" s="27">
        <f>Cities!H8-AA8</f>
        <v/>
      </c>
      <c r="AC8" s="26">
        <f>IF((X8*AB8-V8-U8)&gt;0, (X8*AB8-V8-U8)*(1-K8), X8*AB8-V8-U8)</f>
        <v/>
      </c>
      <c r="AD8" s="26">
        <f>IF((Y8*AB8-V8-U8)&gt;0, (Y8*AB8-V8-U8)*(1-K8), Y8*AB8-V8-U8)</f>
        <v/>
      </c>
      <c r="AE8" s="26">
        <f>AC8+U8</f>
        <v/>
      </c>
      <c r="AF8" s="26">
        <f>AD8+U8</f>
        <v/>
      </c>
      <c r="AG8" s="26">
        <f>FLOOR((Cities!K8+Cities!L8+Cities!M8+Cities!T8+Cities!J8*Cities!N8)*0.92,5000)</f>
        <v/>
      </c>
      <c r="AH8" s="26">
        <f>CEILING((Cities!K8+Cities!L8+Cities!M8+Cities!T8+Cities!J8*Cities!N8)*1.08,5000)</f>
        <v/>
      </c>
      <c r="AI8" s="26">
        <f>(AG8+AH8)/2</f>
        <v/>
      </c>
      <c r="AJ8" s="24">
        <f>IF(AE8*12&gt;=AI8, IF(AE8&gt;0,CEILING(AI8/AE8,1),999), IF(AF8&gt;0,12+CEILING((AI8-AE8*12)/AF8,1),999))</f>
        <v/>
      </c>
      <c r="AK8" s="28">
        <f>IF(V8&gt;0,AD8/V8,0)</f>
        <v/>
      </c>
      <c r="AL8" s="29">
        <f>IF(Z8&lt;W8*0.8,"✓ YES","⚠ TIGHT")</f>
        <v/>
      </c>
    </row>
    <row r="9">
      <c r="A9" s="15">
        <f>Cities!A9</f>
        <v/>
      </c>
      <c r="B9" s="9">
        <f>Cities!D9</f>
        <v/>
      </c>
      <c r="C9" s="24">
        <f>IF(Cities!E9&lt;=750,3,IF(Cities!E9&lt;=850,4,5))</f>
        <v/>
      </c>
      <c r="D9" s="24">
        <f>C9-1</f>
        <v/>
      </c>
      <c r="E9" s="24">
        <f>C9+D9</f>
        <v/>
      </c>
      <c r="F9" s="24">
        <f>IF(C9&lt;=4,2,3)</f>
        <v/>
      </c>
      <c r="G9" s="24">
        <f>IF(C9&lt;=4,2,3)</f>
        <v/>
      </c>
      <c r="H9" s="24">
        <f>C9-G9</f>
        <v/>
      </c>
      <c r="I9" s="24">
        <f>CEILING(C9/2,1)</f>
        <v/>
      </c>
      <c r="J9" s="24">
        <f>G9+H9+I9+1</f>
        <v/>
      </c>
      <c r="K9" s="25">
        <f>VLOOKUP(Cities!D9,Country!$A$4:$H$14,3,FALSE)</f>
        <v/>
      </c>
      <c r="L9" s="26">
        <f>VLOOKUP(Cities!D9,Country!$A$4:$H$14,5,FALSE)</f>
        <v/>
      </c>
      <c r="M9" s="26">
        <f>VLOOKUP(Cities!D9,Country!$A$4:$H$14,6,FALSE)</f>
        <v/>
      </c>
      <c r="N9" s="26">
        <f>VLOOKUP(Cities!D9,Country!$A$4:$H$14,7,FALSE)</f>
        <v/>
      </c>
      <c r="O9" s="26">
        <f>VLOOKUP(Cities!D9,Country!$A$4:$H$14,8,FALSE)</f>
        <v/>
      </c>
      <c r="P9" s="26">
        <f>G9*L9+H9*M9+I9*N9+O9</f>
        <v/>
      </c>
      <c r="Q9" s="26">
        <f>Cities!J9</f>
        <v/>
      </c>
      <c r="R9" s="26">
        <f>200+C9*80</f>
        <v/>
      </c>
      <c r="S9" s="26">
        <f>350+C9*50+300+C9*30</f>
        <v/>
      </c>
      <c r="T9" s="26">
        <f>Cities!U9</f>
        <v/>
      </c>
      <c r="U9" s="26">
        <f>Cities!L9/60</f>
        <v/>
      </c>
      <c r="V9" s="26">
        <f>Q9+P9+R9+S9+T9</f>
        <v/>
      </c>
      <c r="W9" s="24">
        <f>C9*Cities!F9*Cities!G9</f>
        <v/>
      </c>
      <c r="X9" s="24">
        <f>INT(W9*Cities!O9)</f>
        <v/>
      </c>
      <c r="Y9" s="24">
        <f>INT(W9*Cities!P9)</f>
        <v/>
      </c>
      <c r="Z9" s="24">
        <f>CEILING((V9+U9)/AB9,1)</f>
        <v/>
      </c>
      <c r="AA9" s="27">
        <f>Cities!H9*Cities!I9</f>
        <v/>
      </c>
      <c r="AB9" s="27">
        <f>Cities!H9-AA9</f>
        <v/>
      </c>
      <c r="AC9" s="26">
        <f>IF((X9*AB9-V9-U9)&gt;0, (X9*AB9-V9-U9)*(1-K9), X9*AB9-V9-U9)</f>
        <v/>
      </c>
      <c r="AD9" s="26">
        <f>IF((Y9*AB9-V9-U9)&gt;0, (Y9*AB9-V9-U9)*(1-K9), Y9*AB9-V9-U9)</f>
        <v/>
      </c>
      <c r="AE9" s="26">
        <f>AC9+U9</f>
        <v/>
      </c>
      <c r="AF9" s="26">
        <f>AD9+U9</f>
        <v/>
      </c>
      <c r="AG9" s="26">
        <f>FLOOR((Cities!K9+Cities!L9+Cities!M9+Cities!T9+Cities!J9*Cities!N9)*0.92,5000)</f>
        <v/>
      </c>
      <c r="AH9" s="26">
        <f>CEILING((Cities!K9+Cities!L9+Cities!M9+Cities!T9+Cities!J9*Cities!N9)*1.08,5000)</f>
        <v/>
      </c>
      <c r="AI9" s="26">
        <f>(AG9+AH9)/2</f>
        <v/>
      </c>
      <c r="AJ9" s="24">
        <f>IF(AE9*12&gt;=AI9, IF(AE9&gt;0,CEILING(AI9/AE9,1),999), IF(AF9&gt;0,12+CEILING((AI9-AE9*12)/AF9,1),999))</f>
        <v/>
      </c>
      <c r="AK9" s="28">
        <f>IF(V9&gt;0,AD9/V9,0)</f>
        <v/>
      </c>
      <c r="AL9" s="29">
        <f>IF(Z9&lt;W9*0.8,"✓ YES","⚠ TIGHT")</f>
        <v/>
      </c>
    </row>
    <row r="10">
      <c r="A10" s="15">
        <f>Cities!A10</f>
        <v/>
      </c>
      <c r="B10" s="9">
        <f>Cities!D10</f>
        <v/>
      </c>
      <c r="C10" s="24">
        <f>IF(Cities!E10&lt;=750,3,IF(Cities!E10&lt;=850,4,5))</f>
        <v/>
      </c>
      <c r="D10" s="24">
        <f>C10-1</f>
        <v/>
      </c>
      <c r="E10" s="24">
        <f>C10+D10</f>
        <v/>
      </c>
      <c r="F10" s="24">
        <f>IF(C10&lt;=4,2,3)</f>
        <v/>
      </c>
      <c r="G10" s="24">
        <f>IF(C10&lt;=4,2,3)</f>
        <v/>
      </c>
      <c r="H10" s="24">
        <f>C10-G10</f>
        <v/>
      </c>
      <c r="I10" s="24">
        <f>CEILING(C10/2,1)</f>
        <v/>
      </c>
      <c r="J10" s="24">
        <f>G10+H10+I10+1</f>
        <v/>
      </c>
      <c r="K10" s="25">
        <f>VLOOKUP(Cities!D10,Country!$A$4:$H$14,3,FALSE)</f>
        <v/>
      </c>
      <c r="L10" s="26">
        <f>VLOOKUP(Cities!D10,Country!$A$4:$H$14,5,FALSE)</f>
        <v/>
      </c>
      <c r="M10" s="26">
        <f>VLOOKUP(Cities!D10,Country!$A$4:$H$14,6,FALSE)</f>
        <v/>
      </c>
      <c r="N10" s="26">
        <f>VLOOKUP(Cities!D10,Country!$A$4:$H$14,7,FALSE)</f>
        <v/>
      </c>
      <c r="O10" s="26">
        <f>VLOOKUP(Cities!D10,Country!$A$4:$H$14,8,FALSE)</f>
        <v/>
      </c>
      <c r="P10" s="26">
        <f>G10*L10+H10*M10+I10*N10+O10</f>
        <v/>
      </c>
      <c r="Q10" s="26">
        <f>Cities!J10</f>
        <v/>
      </c>
      <c r="R10" s="26">
        <f>200+C10*80</f>
        <v/>
      </c>
      <c r="S10" s="26">
        <f>350+C10*50+300+C10*30</f>
        <v/>
      </c>
      <c r="T10" s="26">
        <f>Cities!U10</f>
        <v/>
      </c>
      <c r="U10" s="26">
        <f>Cities!L10/60</f>
        <v/>
      </c>
      <c r="V10" s="26">
        <f>Q10+P10+R10+S10+T10</f>
        <v/>
      </c>
      <c r="W10" s="24">
        <f>C10*Cities!F10*Cities!G10</f>
        <v/>
      </c>
      <c r="X10" s="24">
        <f>INT(W10*Cities!O10)</f>
        <v/>
      </c>
      <c r="Y10" s="24">
        <f>INT(W10*Cities!P10)</f>
        <v/>
      </c>
      <c r="Z10" s="24">
        <f>CEILING((V10+U10)/AB10,1)</f>
        <v/>
      </c>
      <c r="AA10" s="27">
        <f>Cities!H10*Cities!I10</f>
        <v/>
      </c>
      <c r="AB10" s="27">
        <f>Cities!H10-AA10</f>
        <v/>
      </c>
      <c r="AC10" s="26">
        <f>IF((X10*AB10-V10-U10)&gt;0, (X10*AB10-V10-U10)*(1-K10), X10*AB10-V10-U10)</f>
        <v/>
      </c>
      <c r="AD10" s="26">
        <f>IF((Y10*AB10-V10-U10)&gt;0, (Y10*AB10-V10-U10)*(1-K10), Y10*AB10-V10-U10)</f>
        <v/>
      </c>
      <c r="AE10" s="26">
        <f>AC10+U10</f>
        <v/>
      </c>
      <c r="AF10" s="26">
        <f>AD10+U10</f>
        <v/>
      </c>
      <c r="AG10" s="26">
        <f>FLOOR((Cities!K10+Cities!L10+Cities!M10+Cities!T10+Cities!J10*Cities!N10)*0.92,5000)</f>
        <v/>
      </c>
      <c r="AH10" s="26">
        <f>CEILING((Cities!K10+Cities!L10+Cities!M10+Cities!T10+Cities!J10*Cities!N10)*1.08,5000)</f>
        <v/>
      </c>
      <c r="AI10" s="26">
        <f>(AG10+AH10)/2</f>
        <v/>
      </c>
      <c r="AJ10" s="24">
        <f>IF(AE10*12&gt;=AI10, IF(AE10&gt;0,CEILING(AI10/AE10,1),999), IF(AF10&gt;0,12+CEILING((AI10-AE10*12)/AF10,1),999))</f>
        <v/>
      </c>
      <c r="AK10" s="28">
        <f>IF(V10&gt;0,AD10/V10,0)</f>
        <v/>
      </c>
      <c r="AL10" s="29">
        <f>IF(Z10&lt;W10*0.8,"✓ YES","⚠ TIGHT")</f>
        <v/>
      </c>
    </row>
    <row r="11">
      <c r="A11" s="15">
        <f>Cities!A11</f>
        <v/>
      </c>
      <c r="B11" s="9">
        <f>Cities!D11</f>
        <v/>
      </c>
      <c r="C11" s="24">
        <f>IF(Cities!E11&lt;=750,3,IF(Cities!E11&lt;=850,4,5))</f>
        <v/>
      </c>
      <c r="D11" s="24">
        <f>C11-1</f>
        <v/>
      </c>
      <c r="E11" s="24">
        <f>C11+D11</f>
        <v/>
      </c>
      <c r="F11" s="24">
        <f>IF(C11&lt;=4,2,3)</f>
        <v/>
      </c>
      <c r="G11" s="24">
        <f>IF(C11&lt;=4,2,3)</f>
        <v/>
      </c>
      <c r="H11" s="24">
        <f>C11-G11</f>
        <v/>
      </c>
      <c r="I11" s="24">
        <f>CEILING(C11/2,1)</f>
        <v/>
      </c>
      <c r="J11" s="24">
        <f>G11+H11+I11+1</f>
        <v/>
      </c>
      <c r="K11" s="25">
        <f>VLOOKUP(Cities!D11,Country!$A$4:$H$14,3,FALSE)</f>
        <v/>
      </c>
      <c r="L11" s="26">
        <f>VLOOKUP(Cities!D11,Country!$A$4:$H$14,5,FALSE)</f>
        <v/>
      </c>
      <c r="M11" s="26">
        <f>VLOOKUP(Cities!D11,Country!$A$4:$H$14,6,FALSE)</f>
        <v/>
      </c>
      <c r="N11" s="26">
        <f>VLOOKUP(Cities!D11,Country!$A$4:$H$14,7,FALSE)</f>
        <v/>
      </c>
      <c r="O11" s="26">
        <f>VLOOKUP(Cities!D11,Country!$A$4:$H$14,8,FALSE)</f>
        <v/>
      </c>
      <c r="P11" s="26">
        <f>G11*L11+H11*M11+I11*N11+O11</f>
        <v/>
      </c>
      <c r="Q11" s="26">
        <f>Cities!J11</f>
        <v/>
      </c>
      <c r="R11" s="26">
        <f>200+C11*80</f>
        <v/>
      </c>
      <c r="S11" s="26">
        <f>350+C11*50+300+C11*30</f>
        <v/>
      </c>
      <c r="T11" s="26">
        <f>Cities!U11</f>
        <v/>
      </c>
      <c r="U11" s="26">
        <f>Cities!L11/60</f>
        <v/>
      </c>
      <c r="V11" s="26">
        <f>Q11+P11+R11+S11+T11</f>
        <v/>
      </c>
      <c r="W11" s="24">
        <f>C11*Cities!F11*Cities!G11</f>
        <v/>
      </c>
      <c r="X11" s="24">
        <f>INT(W11*Cities!O11)</f>
        <v/>
      </c>
      <c r="Y11" s="24">
        <f>INT(W11*Cities!P11)</f>
        <v/>
      </c>
      <c r="Z11" s="24">
        <f>CEILING((V11+U11)/AB11,1)</f>
        <v/>
      </c>
      <c r="AA11" s="27">
        <f>Cities!H11*Cities!I11</f>
        <v/>
      </c>
      <c r="AB11" s="27">
        <f>Cities!H11-AA11</f>
        <v/>
      </c>
      <c r="AC11" s="26">
        <f>IF((X11*AB11-V11-U11)&gt;0, (X11*AB11-V11-U11)*(1-K11), X11*AB11-V11-U11)</f>
        <v/>
      </c>
      <c r="AD11" s="26">
        <f>IF((Y11*AB11-V11-U11)&gt;0, (Y11*AB11-V11-U11)*(1-K11), Y11*AB11-V11-U11)</f>
        <v/>
      </c>
      <c r="AE11" s="26">
        <f>AC11+U11</f>
        <v/>
      </c>
      <c r="AF11" s="26">
        <f>AD11+U11</f>
        <v/>
      </c>
      <c r="AG11" s="26">
        <f>FLOOR((Cities!K11+Cities!L11+Cities!M11+Cities!T11+Cities!J11*Cities!N11)*0.92,5000)</f>
        <v/>
      </c>
      <c r="AH11" s="26">
        <f>CEILING((Cities!K11+Cities!L11+Cities!M11+Cities!T11+Cities!J11*Cities!N11)*1.08,5000)</f>
        <v/>
      </c>
      <c r="AI11" s="26">
        <f>(AG11+AH11)/2</f>
        <v/>
      </c>
      <c r="AJ11" s="24">
        <f>IF(AE11*12&gt;=AI11, IF(AE11&gt;0,CEILING(AI11/AE11,1),999), IF(AF11&gt;0,12+CEILING((AI11-AE11*12)/AF11,1),999))</f>
        <v/>
      </c>
      <c r="AK11" s="28">
        <f>IF(V11&gt;0,AD11/V11,0)</f>
        <v/>
      </c>
      <c r="AL11" s="29">
        <f>IF(Z11&lt;W11*0.8,"✓ YES","⚠ TIGHT")</f>
        <v/>
      </c>
    </row>
    <row r="12">
      <c r="A12" s="15">
        <f>Cities!A12</f>
        <v/>
      </c>
      <c r="B12" s="9">
        <f>Cities!D12</f>
        <v/>
      </c>
      <c r="C12" s="24">
        <f>IF(Cities!E12&lt;=750,3,IF(Cities!E12&lt;=850,4,5))</f>
        <v/>
      </c>
      <c r="D12" s="24">
        <f>C12-1</f>
        <v/>
      </c>
      <c r="E12" s="24">
        <f>C12+D12</f>
        <v/>
      </c>
      <c r="F12" s="24">
        <f>IF(C12&lt;=4,2,3)</f>
        <v/>
      </c>
      <c r="G12" s="24">
        <f>IF(C12&lt;=4,2,3)</f>
        <v/>
      </c>
      <c r="H12" s="24">
        <f>C12-G12</f>
        <v/>
      </c>
      <c r="I12" s="24">
        <f>CEILING(C12/2,1)</f>
        <v/>
      </c>
      <c r="J12" s="24">
        <f>G12+H12+I12+1</f>
        <v/>
      </c>
      <c r="K12" s="25">
        <f>VLOOKUP(Cities!D12,Country!$A$4:$H$14,3,FALSE)</f>
        <v/>
      </c>
      <c r="L12" s="26">
        <f>VLOOKUP(Cities!D12,Country!$A$4:$H$14,5,FALSE)</f>
        <v/>
      </c>
      <c r="M12" s="26">
        <f>VLOOKUP(Cities!D12,Country!$A$4:$H$14,6,FALSE)</f>
        <v/>
      </c>
      <c r="N12" s="26">
        <f>VLOOKUP(Cities!D12,Country!$A$4:$H$14,7,FALSE)</f>
        <v/>
      </c>
      <c r="O12" s="26">
        <f>VLOOKUP(Cities!D12,Country!$A$4:$H$14,8,FALSE)</f>
        <v/>
      </c>
      <c r="P12" s="26">
        <f>G12*L12+H12*M12+I12*N12+O12</f>
        <v/>
      </c>
      <c r="Q12" s="26">
        <f>Cities!J12</f>
        <v/>
      </c>
      <c r="R12" s="26">
        <f>200+C12*80</f>
        <v/>
      </c>
      <c r="S12" s="26">
        <f>350+C12*50+300+C12*30</f>
        <v/>
      </c>
      <c r="T12" s="26">
        <f>Cities!U12</f>
        <v/>
      </c>
      <c r="U12" s="26">
        <f>Cities!L12/60</f>
        <v/>
      </c>
      <c r="V12" s="26">
        <f>Q12+P12+R12+S12+T12</f>
        <v/>
      </c>
      <c r="W12" s="24">
        <f>C12*Cities!F12*Cities!G12</f>
        <v/>
      </c>
      <c r="X12" s="24">
        <f>INT(W12*Cities!O12)</f>
        <v/>
      </c>
      <c r="Y12" s="24">
        <f>INT(W12*Cities!P12)</f>
        <v/>
      </c>
      <c r="Z12" s="24">
        <f>CEILING((V12+U12)/AB12,1)</f>
        <v/>
      </c>
      <c r="AA12" s="27">
        <f>Cities!H12*Cities!I12</f>
        <v/>
      </c>
      <c r="AB12" s="27">
        <f>Cities!H12-AA12</f>
        <v/>
      </c>
      <c r="AC12" s="26">
        <f>IF((X12*AB12-V12-U12)&gt;0, (X12*AB12-V12-U12)*(1-K12), X12*AB12-V12-U12)</f>
        <v/>
      </c>
      <c r="AD12" s="26">
        <f>IF((Y12*AB12-V12-U12)&gt;0, (Y12*AB12-V12-U12)*(1-K12), Y12*AB12-V12-U12)</f>
        <v/>
      </c>
      <c r="AE12" s="26">
        <f>AC12+U12</f>
        <v/>
      </c>
      <c r="AF12" s="26">
        <f>AD12+U12</f>
        <v/>
      </c>
      <c r="AG12" s="26">
        <f>FLOOR((Cities!K12+Cities!L12+Cities!M12+Cities!T12+Cities!J12*Cities!N12)*0.92,5000)</f>
        <v/>
      </c>
      <c r="AH12" s="26">
        <f>CEILING((Cities!K12+Cities!L12+Cities!M12+Cities!T12+Cities!J12*Cities!N12)*1.08,5000)</f>
        <v/>
      </c>
      <c r="AI12" s="26">
        <f>(AG12+AH12)/2</f>
        <v/>
      </c>
      <c r="AJ12" s="24">
        <f>IF(AE12*12&gt;=AI12, IF(AE12&gt;0,CEILING(AI12/AE12,1),999), IF(AF12&gt;0,12+CEILING((AI12-AE12*12)/AF12,1),999))</f>
        <v/>
      </c>
      <c r="AK12" s="28">
        <f>IF(V12&gt;0,AD12/V12,0)</f>
        <v/>
      </c>
      <c r="AL12" s="29">
        <f>IF(Z12&lt;W12*0.8,"✓ YES","⚠ TIGHT")</f>
        <v/>
      </c>
    </row>
    <row r="13">
      <c r="A13" s="15">
        <f>Cities!A13</f>
        <v/>
      </c>
      <c r="B13" s="9">
        <f>Cities!D13</f>
        <v/>
      </c>
      <c r="C13" s="24">
        <f>IF(Cities!E13&lt;=750,3,IF(Cities!E13&lt;=850,4,5))</f>
        <v/>
      </c>
      <c r="D13" s="24">
        <f>C13-1</f>
        <v/>
      </c>
      <c r="E13" s="24">
        <f>C13+D13</f>
        <v/>
      </c>
      <c r="F13" s="24">
        <f>IF(C13&lt;=4,2,3)</f>
        <v/>
      </c>
      <c r="G13" s="24">
        <f>IF(C13&lt;=4,2,3)</f>
        <v/>
      </c>
      <c r="H13" s="24">
        <f>C13-G13</f>
        <v/>
      </c>
      <c r="I13" s="24">
        <f>CEILING(C13/2,1)</f>
        <v/>
      </c>
      <c r="J13" s="24">
        <f>G13+H13+I13+1</f>
        <v/>
      </c>
      <c r="K13" s="25">
        <f>VLOOKUP(Cities!D13,Country!$A$4:$H$14,3,FALSE)</f>
        <v/>
      </c>
      <c r="L13" s="26">
        <f>VLOOKUP(Cities!D13,Country!$A$4:$H$14,5,FALSE)</f>
        <v/>
      </c>
      <c r="M13" s="26">
        <f>VLOOKUP(Cities!D13,Country!$A$4:$H$14,6,FALSE)</f>
        <v/>
      </c>
      <c r="N13" s="26">
        <f>VLOOKUP(Cities!D13,Country!$A$4:$H$14,7,FALSE)</f>
        <v/>
      </c>
      <c r="O13" s="26">
        <f>VLOOKUP(Cities!D13,Country!$A$4:$H$14,8,FALSE)</f>
        <v/>
      </c>
      <c r="P13" s="26">
        <f>G13*L13+H13*M13+I13*N13+O13</f>
        <v/>
      </c>
      <c r="Q13" s="26">
        <f>Cities!J13</f>
        <v/>
      </c>
      <c r="R13" s="26">
        <f>200+C13*80</f>
        <v/>
      </c>
      <c r="S13" s="26">
        <f>350+C13*50+300+C13*30</f>
        <v/>
      </c>
      <c r="T13" s="26">
        <f>Cities!U13</f>
        <v/>
      </c>
      <c r="U13" s="26">
        <f>Cities!L13/60</f>
        <v/>
      </c>
      <c r="V13" s="26">
        <f>Q13+P13+R13+S13+T13</f>
        <v/>
      </c>
      <c r="W13" s="24">
        <f>C13*Cities!F13*Cities!G13</f>
        <v/>
      </c>
      <c r="X13" s="24">
        <f>INT(W13*Cities!O13)</f>
        <v/>
      </c>
      <c r="Y13" s="24">
        <f>INT(W13*Cities!P13)</f>
        <v/>
      </c>
      <c r="Z13" s="24">
        <f>CEILING((V13+U13)/AB13,1)</f>
        <v/>
      </c>
      <c r="AA13" s="27">
        <f>Cities!H13*Cities!I13</f>
        <v/>
      </c>
      <c r="AB13" s="27">
        <f>Cities!H13-AA13</f>
        <v/>
      </c>
      <c r="AC13" s="26">
        <f>IF((X13*AB13-V13-U13)&gt;0, (X13*AB13-V13-U13)*(1-K13), X13*AB13-V13-U13)</f>
        <v/>
      </c>
      <c r="AD13" s="26">
        <f>IF((Y13*AB13-V13-U13)&gt;0, (Y13*AB13-V13-U13)*(1-K13), Y13*AB13-V13-U13)</f>
        <v/>
      </c>
      <c r="AE13" s="26">
        <f>AC13+U13</f>
        <v/>
      </c>
      <c r="AF13" s="26">
        <f>AD13+U13</f>
        <v/>
      </c>
      <c r="AG13" s="26">
        <f>FLOOR((Cities!K13+Cities!L13+Cities!M13+Cities!T13+Cities!J13*Cities!N13)*0.92,5000)</f>
        <v/>
      </c>
      <c r="AH13" s="26">
        <f>CEILING((Cities!K13+Cities!L13+Cities!M13+Cities!T13+Cities!J13*Cities!N13)*1.08,5000)</f>
        <v/>
      </c>
      <c r="AI13" s="26">
        <f>(AG13+AH13)/2</f>
        <v/>
      </c>
      <c r="AJ13" s="24">
        <f>IF(AE13*12&gt;=AI13, IF(AE13&gt;0,CEILING(AI13/AE13,1),999), IF(AF13&gt;0,12+CEILING((AI13-AE13*12)/AF13,1),999))</f>
        <v/>
      </c>
      <c r="AK13" s="28">
        <f>IF(V13&gt;0,AD13/V13,0)</f>
        <v/>
      </c>
      <c r="AL13" s="29">
        <f>IF(Z13&lt;W13*0.8,"✓ YES","⚠ TIGHT")</f>
        <v/>
      </c>
    </row>
    <row r="14">
      <c r="A14" s="15">
        <f>Cities!A14</f>
        <v/>
      </c>
      <c r="B14" s="9">
        <f>Cities!D14</f>
        <v/>
      </c>
      <c r="C14" s="24">
        <f>IF(Cities!E14&lt;=750,3,IF(Cities!E14&lt;=850,4,5))</f>
        <v/>
      </c>
      <c r="D14" s="24">
        <f>C14-1</f>
        <v/>
      </c>
      <c r="E14" s="24">
        <f>C14+D14</f>
        <v/>
      </c>
      <c r="F14" s="24">
        <f>IF(C14&lt;=4,2,3)</f>
        <v/>
      </c>
      <c r="G14" s="24">
        <f>IF(C14&lt;=4,2,3)</f>
        <v/>
      </c>
      <c r="H14" s="24">
        <f>C14-G14</f>
        <v/>
      </c>
      <c r="I14" s="24">
        <f>CEILING(C14/2,1)</f>
        <v/>
      </c>
      <c r="J14" s="24">
        <f>G14+H14+I14+1</f>
        <v/>
      </c>
      <c r="K14" s="25">
        <f>VLOOKUP(Cities!D14,Country!$A$4:$H$14,3,FALSE)</f>
        <v/>
      </c>
      <c r="L14" s="26">
        <f>VLOOKUP(Cities!D14,Country!$A$4:$H$14,5,FALSE)</f>
        <v/>
      </c>
      <c r="M14" s="26">
        <f>VLOOKUP(Cities!D14,Country!$A$4:$H$14,6,FALSE)</f>
        <v/>
      </c>
      <c r="N14" s="26">
        <f>VLOOKUP(Cities!D14,Country!$A$4:$H$14,7,FALSE)</f>
        <v/>
      </c>
      <c r="O14" s="26">
        <f>VLOOKUP(Cities!D14,Country!$A$4:$H$14,8,FALSE)</f>
        <v/>
      </c>
      <c r="P14" s="26">
        <f>G14*L14+H14*M14+I14*N14+O14</f>
        <v/>
      </c>
      <c r="Q14" s="26">
        <f>Cities!J14</f>
        <v/>
      </c>
      <c r="R14" s="26">
        <f>200+C14*80</f>
        <v/>
      </c>
      <c r="S14" s="26">
        <f>350+C14*50+300+C14*30</f>
        <v/>
      </c>
      <c r="T14" s="26">
        <f>Cities!U14</f>
        <v/>
      </c>
      <c r="U14" s="26">
        <f>Cities!L14/60</f>
        <v/>
      </c>
      <c r="V14" s="26">
        <f>Q14+P14+R14+S14+T14</f>
        <v/>
      </c>
      <c r="W14" s="24">
        <f>C14*Cities!F14*Cities!G14</f>
        <v/>
      </c>
      <c r="X14" s="24">
        <f>INT(W14*Cities!O14)</f>
        <v/>
      </c>
      <c r="Y14" s="24">
        <f>INT(W14*Cities!P14)</f>
        <v/>
      </c>
      <c r="Z14" s="24">
        <f>CEILING((V14+U14)/AB14,1)</f>
        <v/>
      </c>
      <c r="AA14" s="27">
        <f>Cities!H14*Cities!I14</f>
        <v/>
      </c>
      <c r="AB14" s="27">
        <f>Cities!H14-AA14</f>
        <v/>
      </c>
      <c r="AC14" s="26">
        <f>IF((X14*AB14-V14-U14)&gt;0, (X14*AB14-V14-U14)*(1-K14), X14*AB14-V14-U14)</f>
        <v/>
      </c>
      <c r="AD14" s="26">
        <f>IF((Y14*AB14-V14-U14)&gt;0, (Y14*AB14-V14-U14)*(1-K14), Y14*AB14-V14-U14)</f>
        <v/>
      </c>
      <c r="AE14" s="26">
        <f>AC14+U14</f>
        <v/>
      </c>
      <c r="AF14" s="26">
        <f>AD14+U14</f>
        <v/>
      </c>
      <c r="AG14" s="26">
        <f>FLOOR((Cities!K14+Cities!L14+Cities!M14+Cities!T14+Cities!J14*Cities!N14)*0.92,5000)</f>
        <v/>
      </c>
      <c r="AH14" s="26">
        <f>CEILING((Cities!K14+Cities!L14+Cities!M14+Cities!T14+Cities!J14*Cities!N14)*1.08,5000)</f>
        <v/>
      </c>
      <c r="AI14" s="26">
        <f>(AG14+AH14)/2</f>
        <v/>
      </c>
      <c r="AJ14" s="24">
        <f>IF(AE14*12&gt;=AI14, IF(AE14&gt;0,CEILING(AI14/AE14,1),999), IF(AF14&gt;0,12+CEILING((AI14-AE14*12)/AF14,1),999))</f>
        <v/>
      </c>
      <c r="AK14" s="28">
        <f>IF(V14&gt;0,AD14/V14,0)</f>
        <v/>
      </c>
      <c r="AL14" s="29">
        <f>IF(Z14&lt;W14*0.8,"✓ YES","⚠ TIGHT")</f>
        <v/>
      </c>
    </row>
    <row r="15">
      <c r="A15" s="15">
        <f>Cities!A15</f>
        <v/>
      </c>
      <c r="B15" s="9">
        <f>Cities!D15</f>
        <v/>
      </c>
      <c r="C15" s="24">
        <f>IF(Cities!E15&lt;=750,3,IF(Cities!E15&lt;=850,4,5))</f>
        <v/>
      </c>
      <c r="D15" s="24">
        <f>C15-1</f>
        <v/>
      </c>
      <c r="E15" s="24">
        <f>C15+D15</f>
        <v/>
      </c>
      <c r="F15" s="24">
        <f>IF(C15&lt;=4,2,3)</f>
        <v/>
      </c>
      <c r="G15" s="24">
        <f>IF(C15&lt;=4,2,3)</f>
        <v/>
      </c>
      <c r="H15" s="24">
        <f>C15-G15</f>
        <v/>
      </c>
      <c r="I15" s="24">
        <f>CEILING(C15/2,1)</f>
        <v/>
      </c>
      <c r="J15" s="24">
        <f>G15+H15+I15+1</f>
        <v/>
      </c>
      <c r="K15" s="25">
        <f>VLOOKUP(Cities!D15,Country!$A$4:$H$14,3,FALSE)</f>
        <v/>
      </c>
      <c r="L15" s="26">
        <f>VLOOKUP(Cities!D15,Country!$A$4:$H$14,5,FALSE)</f>
        <v/>
      </c>
      <c r="M15" s="26">
        <f>VLOOKUP(Cities!D15,Country!$A$4:$H$14,6,FALSE)</f>
        <v/>
      </c>
      <c r="N15" s="26">
        <f>VLOOKUP(Cities!D15,Country!$A$4:$H$14,7,FALSE)</f>
        <v/>
      </c>
      <c r="O15" s="26">
        <f>VLOOKUP(Cities!D15,Country!$A$4:$H$14,8,FALSE)</f>
        <v/>
      </c>
      <c r="P15" s="26">
        <f>G15*L15+H15*M15+I15*N15+O15</f>
        <v/>
      </c>
      <c r="Q15" s="26">
        <f>Cities!J15</f>
        <v/>
      </c>
      <c r="R15" s="26">
        <f>200+C15*80</f>
        <v/>
      </c>
      <c r="S15" s="26">
        <f>350+C15*50+300+C15*30</f>
        <v/>
      </c>
      <c r="T15" s="26">
        <f>Cities!U15</f>
        <v/>
      </c>
      <c r="U15" s="26">
        <f>Cities!L15/60</f>
        <v/>
      </c>
      <c r="V15" s="26">
        <f>Q15+P15+R15+S15+T15</f>
        <v/>
      </c>
      <c r="W15" s="24">
        <f>C15*Cities!F15*Cities!G15</f>
        <v/>
      </c>
      <c r="X15" s="24">
        <f>INT(W15*Cities!O15)</f>
        <v/>
      </c>
      <c r="Y15" s="24">
        <f>INT(W15*Cities!P15)</f>
        <v/>
      </c>
      <c r="Z15" s="24">
        <f>CEILING((V15+U15)/AB15,1)</f>
        <v/>
      </c>
      <c r="AA15" s="27">
        <f>Cities!H15*Cities!I15</f>
        <v/>
      </c>
      <c r="AB15" s="27">
        <f>Cities!H15-AA15</f>
        <v/>
      </c>
      <c r="AC15" s="26">
        <f>IF((X15*AB15-V15-U15)&gt;0, (X15*AB15-V15-U15)*(1-K15), X15*AB15-V15-U15)</f>
        <v/>
      </c>
      <c r="AD15" s="26">
        <f>IF((Y15*AB15-V15-U15)&gt;0, (Y15*AB15-V15-U15)*(1-K15), Y15*AB15-V15-U15)</f>
        <v/>
      </c>
      <c r="AE15" s="26">
        <f>AC15+U15</f>
        <v/>
      </c>
      <c r="AF15" s="26">
        <f>AD15+U15</f>
        <v/>
      </c>
      <c r="AG15" s="26">
        <f>FLOOR((Cities!K15+Cities!L15+Cities!M15+Cities!T15+Cities!J15*Cities!N15)*0.92,5000)</f>
        <v/>
      </c>
      <c r="AH15" s="26">
        <f>CEILING((Cities!K15+Cities!L15+Cities!M15+Cities!T15+Cities!J15*Cities!N15)*1.08,5000)</f>
        <v/>
      </c>
      <c r="AI15" s="26">
        <f>(AG15+AH15)/2</f>
        <v/>
      </c>
      <c r="AJ15" s="24">
        <f>IF(AE15*12&gt;=AI15, IF(AE15&gt;0,CEILING(AI15/AE15,1),999), IF(AF15&gt;0,12+CEILING((AI15-AE15*12)/AF15,1),999))</f>
        <v/>
      </c>
      <c r="AK15" s="28">
        <f>IF(V15&gt;0,AD15/V15,0)</f>
        <v/>
      </c>
      <c r="AL15" s="29">
        <f>IF(Z15&lt;W15*0.8,"✓ YES","⚠ TIGHT")</f>
        <v/>
      </c>
    </row>
    <row r="16">
      <c r="A16" s="15">
        <f>Cities!A16</f>
        <v/>
      </c>
      <c r="B16" s="9">
        <f>Cities!D16</f>
        <v/>
      </c>
      <c r="C16" s="24">
        <f>IF(Cities!E16&lt;=750,3,IF(Cities!E16&lt;=850,4,5))</f>
        <v/>
      </c>
      <c r="D16" s="24">
        <f>C16-1</f>
        <v/>
      </c>
      <c r="E16" s="24">
        <f>C16+D16</f>
        <v/>
      </c>
      <c r="F16" s="24">
        <f>IF(C16&lt;=4,2,3)</f>
        <v/>
      </c>
      <c r="G16" s="24">
        <f>IF(C16&lt;=4,2,3)</f>
        <v/>
      </c>
      <c r="H16" s="24">
        <f>C16-G16</f>
        <v/>
      </c>
      <c r="I16" s="24">
        <f>CEILING(C16/2,1)</f>
        <v/>
      </c>
      <c r="J16" s="24">
        <f>G16+H16+I16+1</f>
        <v/>
      </c>
      <c r="K16" s="25">
        <f>VLOOKUP(Cities!D16,Country!$A$4:$H$14,3,FALSE)</f>
        <v/>
      </c>
      <c r="L16" s="26">
        <f>VLOOKUP(Cities!D16,Country!$A$4:$H$14,5,FALSE)</f>
        <v/>
      </c>
      <c r="M16" s="26">
        <f>VLOOKUP(Cities!D16,Country!$A$4:$H$14,6,FALSE)</f>
        <v/>
      </c>
      <c r="N16" s="26">
        <f>VLOOKUP(Cities!D16,Country!$A$4:$H$14,7,FALSE)</f>
        <v/>
      </c>
      <c r="O16" s="26">
        <f>VLOOKUP(Cities!D16,Country!$A$4:$H$14,8,FALSE)</f>
        <v/>
      </c>
      <c r="P16" s="26">
        <f>G16*L16+H16*M16+I16*N16+O16</f>
        <v/>
      </c>
      <c r="Q16" s="26">
        <f>Cities!J16</f>
        <v/>
      </c>
      <c r="R16" s="26">
        <f>200+C16*80</f>
        <v/>
      </c>
      <c r="S16" s="26">
        <f>350+C16*50+300+C16*30</f>
        <v/>
      </c>
      <c r="T16" s="26">
        <f>Cities!U16</f>
        <v/>
      </c>
      <c r="U16" s="26">
        <f>Cities!L16/60</f>
        <v/>
      </c>
      <c r="V16" s="26">
        <f>Q16+P16+R16+S16+T16</f>
        <v/>
      </c>
      <c r="W16" s="24">
        <f>C16*Cities!F16*Cities!G16</f>
        <v/>
      </c>
      <c r="X16" s="24">
        <f>INT(W16*Cities!O16)</f>
        <v/>
      </c>
      <c r="Y16" s="24">
        <f>INT(W16*Cities!P16)</f>
        <v/>
      </c>
      <c r="Z16" s="24">
        <f>CEILING((V16+U16)/AB16,1)</f>
        <v/>
      </c>
      <c r="AA16" s="27">
        <f>Cities!H16*Cities!I16</f>
        <v/>
      </c>
      <c r="AB16" s="27">
        <f>Cities!H16-AA16</f>
        <v/>
      </c>
      <c r="AC16" s="26">
        <f>IF((X16*AB16-V16-U16)&gt;0, (X16*AB16-V16-U16)*(1-K16), X16*AB16-V16-U16)</f>
        <v/>
      </c>
      <c r="AD16" s="26">
        <f>IF((Y16*AB16-V16-U16)&gt;0, (Y16*AB16-V16-U16)*(1-K16), Y16*AB16-V16-U16)</f>
        <v/>
      </c>
      <c r="AE16" s="26">
        <f>AC16+U16</f>
        <v/>
      </c>
      <c r="AF16" s="26">
        <f>AD16+U16</f>
        <v/>
      </c>
      <c r="AG16" s="26">
        <f>FLOOR((Cities!K16+Cities!L16+Cities!M16+Cities!T16+Cities!J16*Cities!N16)*0.92,5000)</f>
        <v/>
      </c>
      <c r="AH16" s="26">
        <f>CEILING((Cities!K16+Cities!L16+Cities!M16+Cities!T16+Cities!J16*Cities!N16)*1.08,5000)</f>
        <v/>
      </c>
      <c r="AI16" s="26">
        <f>(AG16+AH16)/2</f>
        <v/>
      </c>
      <c r="AJ16" s="24">
        <f>IF(AE16*12&gt;=AI16, IF(AE16&gt;0,CEILING(AI16/AE16,1),999), IF(AF16&gt;0,12+CEILING((AI16-AE16*12)/AF16,1),999))</f>
        <v/>
      </c>
      <c r="AK16" s="28">
        <f>IF(V16&gt;0,AD16/V16,0)</f>
        <v/>
      </c>
      <c r="AL16" s="29">
        <f>IF(Z16&lt;W16*0.8,"✓ YES","⚠ TIGHT")</f>
        <v/>
      </c>
    </row>
    <row r="17">
      <c r="A17" s="15">
        <f>Cities!A17</f>
        <v/>
      </c>
      <c r="B17" s="9">
        <f>Cities!D17</f>
        <v/>
      </c>
      <c r="C17" s="24">
        <f>IF(Cities!E17&lt;=750,3,IF(Cities!E17&lt;=850,4,5))</f>
        <v/>
      </c>
      <c r="D17" s="24">
        <f>C17-1</f>
        <v/>
      </c>
      <c r="E17" s="24">
        <f>C17+D17</f>
        <v/>
      </c>
      <c r="F17" s="24">
        <f>IF(C17&lt;=4,2,3)</f>
        <v/>
      </c>
      <c r="G17" s="24">
        <f>IF(C17&lt;=4,2,3)</f>
        <v/>
      </c>
      <c r="H17" s="24">
        <f>C17-G17</f>
        <v/>
      </c>
      <c r="I17" s="24">
        <f>CEILING(C17/2,1)</f>
        <v/>
      </c>
      <c r="J17" s="24">
        <f>G17+H17+I17+1</f>
        <v/>
      </c>
      <c r="K17" s="25">
        <f>VLOOKUP(Cities!D17,Country!$A$4:$H$14,3,FALSE)</f>
        <v/>
      </c>
      <c r="L17" s="26">
        <f>VLOOKUP(Cities!D17,Country!$A$4:$H$14,5,FALSE)</f>
        <v/>
      </c>
      <c r="M17" s="26">
        <f>VLOOKUP(Cities!D17,Country!$A$4:$H$14,6,FALSE)</f>
        <v/>
      </c>
      <c r="N17" s="26">
        <f>VLOOKUP(Cities!D17,Country!$A$4:$H$14,7,FALSE)</f>
        <v/>
      </c>
      <c r="O17" s="26">
        <f>VLOOKUP(Cities!D17,Country!$A$4:$H$14,8,FALSE)</f>
        <v/>
      </c>
      <c r="P17" s="26">
        <f>G17*L17+H17*M17+I17*N17+O17</f>
        <v/>
      </c>
      <c r="Q17" s="26">
        <f>Cities!J17</f>
        <v/>
      </c>
      <c r="R17" s="26">
        <f>200+C17*80</f>
        <v/>
      </c>
      <c r="S17" s="26">
        <f>350+C17*50+300+C17*30</f>
        <v/>
      </c>
      <c r="T17" s="26">
        <f>Cities!U17</f>
        <v/>
      </c>
      <c r="U17" s="26">
        <f>Cities!L17/60</f>
        <v/>
      </c>
      <c r="V17" s="26">
        <f>Q17+P17+R17+S17+T17</f>
        <v/>
      </c>
      <c r="W17" s="24">
        <f>C17*Cities!F17*Cities!G17</f>
        <v/>
      </c>
      <c r="X17" s="24">
        <f>INT(W17*Cities!O17)</f>
        <v/>
      </c>
      <c r="Y17" s="24">
        <f>INT(W17*Cities!P17)</f>
        <v/>
      </c>
      <c r="Z17" s="24">
        <f>CEILING((V17+U17)/AB17,1)</f>
        <v/>
      </c>
      <c r="AA17" s="27">
        <f>Cities!H17*Cities!I17</f>
        <v/>
      </c>
      <c r="AB17" s="27">
        <f>Cities!H17-AA17</f>
        <v/>
      </c>
      <c r="AC17" s="26">
        <f>IF((X17*AB17-V17-U17)&gt;0, (X17*AB17-V17-U17)*(1-K17), X17*AB17-V17-U17)</f>
        <v/>
      </c>
      <c r="AD17" s="26">
        <f>IF((Y17*AB17-V17-U17)&gt;0, (Y17*AB17-V17-U17)*(1-K17), Y17*AB17-V17-U17)</f>
        <v/>
      </c>
      <c r="AE17" s="26">
        <f>AC17+U17</f>
        <v/>
      </c>
      <c r="AF17" s="26">
        <f>AD17+U17</f>
        <v/>
      </c>
      <c r="AG17" s="26">
        <f>FLOOR((Cities!K17+Cities!L17+Cities!M17+Cities!T17+Cities!J17*Cities!N17)*0.92,5000)</f>
        <v/>
      </c>
      <c r="AH17" s="26">
        <f>CEILING((Cities!K17+Cities!L17+Cities!M17+Cities!T17+Cities!J17*Cities!N17)*1.08,5000)</f>
        <v/>
      </c>
      <c r="AI17" s="26">
        <f>(AG17+AH17)/2</f>
        <v/>
      </c>
      <c r="AJ17" s="24">
        <f>IF(AE17*12&gt;=AI17, IF(AE17&gt;0,CEILING(AI17/AE17,1),999), IF(AF17&gt;0,12+CEILING((AI17-AE17*12)/AF17,1),999))</f>
        <v/>
      </c>
      <c r="AK17" s="28">
        <f>IF(V17&gt;0,AD17/V17,0)</f>
        <v/>
      </c>
      <c r="AL17" s="29">
        <f>IF(Z17&lt;W17*0.8,"✓ YES","⚠ TIGHT")</f>
        <v/>
      </c>
    </row>
    <row r="18">
      <c r="A18" s="15">
        <f>Cities!A18</f>
        <v/>
      </c>
      <c r="B18" s="9">
        <f>Cities!D18</f>
        <v/>
      </c>
      <c r="C18" s="24">
        <f>IF(Cities!E18&lt;=750,3,IF(Cities!E18&lt;=850,4,5))</f>
        <v/>
      </c>
      <c r="D18" s="24">
        <f>C18-1</f>
        <v/>
      </c>
      <c r="E18" s="24">
        <f>C18+D18</f>
        <v/>
      </c>
      <c r="F18" s="24">
        <f>IF(C18&lt;=4,2,3)</f>
        <v/>
      </c>
      <c r="G18" s="24">
        <f>IF(C18&lt;=4,2,3)</f>
        <v/>
      </c>
      <c r="H18" s="24">
        <f>C18-G18</f>
        <v/>
      </c>
      <c r="I18" s="24">
        <f>CEILING(C18/2,1)</f>
        <v/>
      </c>
      <c r="J18" s="24">
        <f>G18+H18+I18+1</f>
        <v/>
      </c>
      <c r="K18" s="25">
        <f>VLOOKUP(Cities!D18,Country!$A$4:$H$14,3,FALSE)</f>
        <v/>
      </c>
      <c r="L18" s="26">
        <f>VLOOKUP(Cities!D18,Country!$A$4:$H$14,5,FALSE)</f>
        <v/>
      </c>
      <c r="M18" s="26">
        <f>VLOOKUP(Cities!D18,Country!$A$4:$H$14,6,FALSE)</f>
        <v/>
      </c>
      <c r="N18" s="26">
        <f>VLOOKUP(Cities!D18,Country!$A$4:$H$14,7,FALSE)</f>
        <v/>
      </c>
      <c r="O18" s="26">
        <f>VLOOKUP(Cities!D18,Country!$A$4:$H$14,8,FALSE)</f>
        <v/>
      </c>
      <c r="P18" s="26">
        <f>G18*L18+H18*M18+I18*N18+O18</f>
        <v/>
      </c>
      <c r="Q18" s="26">
        <f>Cities!J18</f>
        <v/>
      </c>
      <c r="R18" s="26">
        <f>200+C18*80</f>
        <v/>
      </c>
      <c r="S18" s="26">
        <f>350+C18*50+300+C18*30</f>
        <v/>
      </c>
      <c r="T18" s="26">
        <f>Cities!U18</f>
        <v/>
      </c>
      <c r="U18" s="26">
        <f>Cities!L18/60</f>
        <v/>
      </c>
      <c r="V18" s="26">
        <f>Q18+P18+R18+S18+T18</f>
        <v/>
      </c>
      <c r="W18" s="24">
        <f>C18*Cities!F18*Cities!G18</f>
        <v/>
      </c>
      <c r="X18" s="24">
        <f>INT(W18*Cities!O18)</f>
        <v/>
      </c>
      <c r="Y18" s="24">
        <f>INT(W18*Cities!P18)</f>
        <v/>
      </c>
      <c r="Z18" s="24">
        <f>CEILING((V18+U18)/AB18,1)</f>
        <v/>
      </c>
      <c r="AA18" s="27">
        <f>Cities!H18*Cities!I18</f>
        <v/>
      </c>
      <c r="AB18" s="27">
        <f>Cities!H18-AA18</f>
        <v/>
      </c>
      <c r="AC18" s="26">
        <f>IF((X18*AB18-V18-U18)&gt;0, (X18*AB18-V18-U18)*(1-K18), X18*AB18-V18-U18)</f>
        <v/>
      </c>
      <c r="AD18" s="26">
        <f>IF((Y18*AB18-V18-U18)&gt;0, (Y18*AB18-V18-U18)*(1-K18), Y18*AB18-V18-U18)</f>
        <v/>
      </c>
      <c r="AE18" s="26">
        <f>AC18+U18</f>
        <v/>
      </c>
      <c r="AF18" s="26">
        <f>AD18+U18</f>
        <v/>
      </c>
      <c r="AG18" s="26">
        <f>FLOOR((Cities!K18+Cities!L18+Cities!M18+Cities!T18+Cities!J18*Cities!N18)*0.92,5000)</f>
        <v/>
      </c>
      <c r="AH18" s="26">
        <f>CEILING((Cities!K18+Cities!L18+Cities!M18+Cities!T18+Cities!J18*Cities!N18)*1.08,5000)</f>
        <v/>
      </c>
      <c r="AI18" s="26">
        <f>(AG18+AH18)/2</f>
        <v/>
      </c>
      <c r="AJ18" s="24">
        <f>IF(AE18*12&gt;=AI18, IF(AE18&gt;0,CEILING(AI18/AE18,1),999), IF(AF18&gt;0,12+CEILING((AI18-AE18*12)/AF18,1),999))</f>
        <v/>
      </c>
      <c r="AK18" s="28">
        <f>IF(V18&gt;0,AD18/V18,0)</f>
        <v/>
      </c>
      <c r="AL18" s="29">
        <f>IF(Z18&lt;W18*0.8,"✓ YES","⚠ TIGHT")</f>
        <v/>
      </c>
    </row>
    <row r="19">
      <c r="A19" s="15">
        <f>Cities!A19</f>
        <v/>
      </c>
      <c r="B19" s="9">
        <f>Cities!D19</f>
        <v/>
      </c>
      <c r="C19" s="24">
        <f>IF(Cities!E19&lt;=750,3,IF(Cities!E19&lt;=850,4,5))</f>
        <v/>
      </c>
      <c r="D19" s="24">
        <f>C19-1</f>
        <v/>
      </c>
      <c r="E19" s="24">
        <f>C19+D19</f>
        <v/>
      </c>
      <c r="F19" s="24">
        <f>IF(C19&lt;=4,2,3)</f>
        <v/>
      </c>
      <c r="G19" s="24">
        <f>IF(C19&lt;=4,2,3)</f>
        <v/>
      </c>
      <c r="H19" s="24">
        <f>C19-G19</f>
        <v/>
      </c>
      <c r="I19" s="24">
        <f>CEILING(C19/2,1)</f>
        <v/>
      </c>
      <c r="J19" s="24">
        <f>G19+H19+I19+1</f>
        <v/>
      </c>
      <c r="K19" s="25">
        <f>VLOOKUP(Cities!D19,Country!$A$4:$H$14,3,FALSE)</f>
        <v/>
      </c>
      <c r="L19" s="26">
        <f>VLOOKUP(Cities!D19,Country!$A$4:$H$14,5,FALSE)</f>
        <v/>
      </c>
      <c r="M19" s="26">
        <f>VLOOKUP(Cities!D19,Country!$A$4:$H$14,6,FALSE)</f>
        <v/>
      </c>
      <c r="N19" s="26">
        <f>VLOOKUP(Cities!D19,Country!$A$4:$H$14,7,FALSE)</f>
        <v/>
      </c>
      <c r="O19" s="26">
        <f>VLOOKUP(Cities!D19,Country!$A$4:$H$14,8,FALSE)</f>
        <v/>
      </c>
      <c r="P19" s="26">
        <f>G19*L19+H19*M19+I19*N19+O19</f>
        <v/>
      </c>
      <c r="Q19" s="26">
        <f>Cities!J19</f>
        <v/>
      </c>
      <c r="R19" s="26">
        <f>200+C19*80</f>
        <v/>
      </c>
      <c r="S19" s="26">
        <f>350+C19*50+300+C19*30</f>
        <v/>
      </c>
      <c r="T19" s="26">
        <f>Cities!U19</f>
        <v/>
      </c>
      <c r="U19" s="26">
        <f>Cities!L19/60</f>
        <v/>
      </c>
      <c r="V19" s="26">
        <f>Q19+P19+R19+S19+T19</f>
        <v/>
      </c>
      <c r="W19" s="24">
        <f>C19*Cities!F19*Cities!G19</f>
        <v/>
      </c>
      <c r="X19" s="24">
        <f>INT(W19*Cities!O19)</f>
        <v/>
      </c>
      <c r="Y19" s="24">
        <f>INT(W19*Cities!P19)</f>
        <v/>
      </c>
      <c r="Z19" s="24">
        <f>CEILING((V19+U19)/AB19,1)</f>
        <v/>
      </c>
      <c r="AA19" s="27">
        <f>Cities!H19*Cities!I19</f>
        <v/>
      </c>
      <c r="AB19" s="27">
        <f>Cities!H19-AA19</f>
        <v/>
      </c>
      <c r="AC19" s="26">
        <f>IF((X19*AB19-V19-U19)&gt;0, (X19*AB19-V19-U19)*(1-K19), X19*AB19-V19-U19)</f>
        <v/>
      </c>
      <c r="AD19" s="26">
        <f>IF((Y19*AB19-V19-U19)&gt;0, (Y19*AB19-V19-U19)*(1-K19), Y19*AB19-V19-U19)</f>
        <v/>
      </c>
      <c r="AE19" s="26">
        <f>AC19+U19</f>
        <v/>
      </c>
      <c r="AF19" s="26">
        <f>AD19+U19</f>
        <v/>
      </c>
      <c r="AG19" s="26">
        <f>FLOOR((Cities!K19+Cities!L19+Cities!M19+Cities!T19+Cities!J19*Cities!N19)*0.92,5000)</f>
        <v/>
      </c>
      <c r="AH19" s="26">
        <f>CEILING((Cities!K19+Cities!L19+Cities!M19+Cities!T19+Cities!J19*Cities!N19)*1.08,5000)</f>
        <v/>
      </c>
      <c r="AI19" s="26">
        <f>(AG19+AH19)/2</f>
        <v/>
      </c>
      <c r="AJ19" s="24">
        <f>IF(AE19*12&gt;=AI19, IF(AE19&gt;0,CEILING(AI19/AE19,1),999), IF(AF19&gt;0,12+CEILING((AI19-AE19*12)/AF19,1),999))</f>
        <v/>
      </c>
      <c r="AK19" s="28">
        <f>IF(V19&gt;0,AD19/V19,0)</f>
        <v/>
      </c>
      <c r="AL19" s="29">
        <f>IF(Z19&lt;W19*0.8,"✓ YES","⚠ TIGHT")</f>
        <v/>
      </c>
    </row>
    <row r="20">
      <c r="A20" s="15">
        <f>Cities!A20</f>
        <v/>
      </c>
      <c r="B20" s="9">
        <f>Cities!D20</f>
        <v/>
      </c>
      <c r="C20" s="24">
        <f>IF(Cities!E20&lt;=750,3,IF(Cities!E20&lt;=850,4,5))</f>
        <v/>
      </c>
      <c r="D20" s="24">
        <f>C20-1</f>
        <v/>
      </c>
      <c r="E20" s="24">
        <f>C20+D20</f>
        <v/>
      </c>
      <c r="F20" s="24">
        <f>IF(C20&lt;=4,2,3)</f>
        <v/>
      </c>
      <c r="G20" s="24">
        <f>IF(C20&lt;=4,2,3)</f>
        <v/>
      </c>
      <c r="H20" s="24">
        <f>C20-G20</f>
        <v/>
      </c>
      <c r="I20" s="24">
        <f>CEILING(C20/2,1)</f>
        <v/>
      </c>
      <c r="J20" s="24">
        <f>G20+H20+I20+1</f>
        <v/>
      </c>
      <c r="K20" s="25">
        <f>VLOOKUP(Cities!D20,Country!$A$4:$H$14,3,FALSE)</f>
        <v/>
      </c>
      <c r="L20" s="26">
        <f>VLOOKUP(Cities!D20,Country!$A$4:$H$14,5,FALSE)</f>
        <v/>
      </c>
      <c r="M20" s="26">
        <f>VLOOKUP(Cities!D20,Country!$A$4:$H$14,6,FALSE)</f>
        <v/>
      </c>
      <c r="N20" s="26">
        <f>VLOOKUP(Cities!D20,Country!$A$4:$H$14,7,FALSE)</f>
        <v/>
      </c>
      <c r="O20" s="26">
        <f>VLOOKUP(Cities!D20,Country!$A$4:$H$14,8,FALSE)</f>
        <v/>
      </c>
      <c r="P20" s="26">
        <f>G20*L20+H20*M20+I20*N20+O20</f>
        <v/>
      </c>
      <c r="Q20" s="26">
        <f>Cities!J20</f>
        <v/>
      </c>
      <c r="R20" s="26">
        <f>200+C20*80</f>
        <v/>
      </c>
      <c r="S20" s="26">
        <f>350+C20*50+300+C20*30</f>
        <v/>
      </c>
      <c r="T20" s="26">
        <f>Cities!U20</f>
        <v/>
      </c>
      <c r="U20" s="26">
        <f>Cities!L20/60</f>
        <v/>
      </c>
      <c r="V20" s="26">
        <f>Q20+P20+R20+S20+T20</f>
        <v/>
      </c>
      <c r="W20" s="24">
        <f>C20*Cities!F20*Cities!G20</f>
        <v/>
      </c>
      <c r="X20" s="24">
        <f>INT(W20*Cities!O20)</f>
        <v/>
      </c>
      <c r="Y20" s="24">
        <f>INT(W20*Cities!P20)</f>
        <v/>
      </c>
      <c r="Z20" s="24">
        <f>CEILING((V20+U20)/AB20,1)</f>
        <v/>
      </c>
      <c r="AA20" s="27">
        <f>Cities!H20*Cities!I20</f>
        <v/>
      </c>
      <c r="AB20" s="27">
        <f>Cities!H20-AA20</f>
        <v/>
      </c>
      <c r="AC20" s="26">
        <f>IF((X20*AB20-V20-U20)&gt;0, (X20*AB20-V20-U20)*(1-K20), X20*AB20-V20-U20)</f>
        <v/>
      </c>
      <c r="AD20" s="26">
        <f>IF((Y20*AB20-V20-U20)&gt;0, (Y20*AB20-V20-U20)*(1-K20), Y20*AB20-V20-U20)</f>
        <v/>
      </c>
      <c r="AE20" s="26">
        <f>AC20+U20</f>
        <v/>
      </c>
      <c r="AF20" s="26">
        <f>AD20+U20</f>
        <v/>
      </c>
      <c r="AG20" s="26">
        <f>FLOOR((Cities!K20+Cities!L20+Cities!M20+Cities!T20+Cities!J20*Cities!N20)*0.92,5000)</f>
        <v/>
      </c>
      <c r="AH20" s="26">
        <f>CEILING((Cities!K20+Cities!L20+Cities!M20+Cities!T20+Cities!J20*Cities!N20)*1.08,5000)</f>
        <v/>
      </c>
      <c r="AI20" s="26">
        <f>(AG20+AH20)/2</f>
        <v/>
      </c>
      <c r="AJ20" s="24">
        <f>IF(AE20*12&gt;=AI20, IF(AE20&gt;0,CEILING(AI20/AE20,1),999), IF(AF20&gt;0,12+CEILING((AI20-AE20*12)/AF20,1),999))</f>
        <v/>
      </c>
      <c r="AK20" s="28">
        <f>IF(V20&gt;0,AD20/V20,0)</f>
        <v/>
      </c>
      <c r="AL20" s="29">
        <f>IF(Z20&lt;W20*0.8,"✓ YES","⚠ TIGHT")</f>
        <v/>
      </c>
    </row>
    <row r="21">
      <c r="A21" s="15">
        <f>Cities!A21</f>
        <v/>
      </c>
      <c r="B21" s="9">
        <f>Cities!D21</f>
        <v/>
      </c>
      <c r="C21" s="24">
        <f>IF(Cities!E21&lt;=750,3,IF(Cities!E21&lt;=850,4,5))</f>
        <v/>
      </c>
      <c r="D21" s="24">
        <f>C21-1</f>
        <v/>
      </c>
      <c r="E21" s="24">
        <f>C21+D21</f>
        <v/>
      </c>
      <c r="F21" s="24">
        <f>IF(C21&lt;=4,2,3)</f>
        <v/>
      </c>
      <c r="G21" s="24">
        <f>IF(C21&lt;=4,2,3)</f>
        <v/>
      </c>
      <c r="H21" s="24">
        <f>C21-G21</f>
        <v/>
      </c>
      <c r="I21" s="24">
        <f>CEILING(C21/2,1)</f>
        <v/>
      </c>
      <c r="J21" s="24">
        <f>G21+H21+I21+1</f>
        <v/>
      </c>
      <c r="K21" s="25">
        <f>VLOOKUP(Cities!D21,Country!$A$4:$H$14,3,FALSE)</f>
        <v/>
      </c>
      <c r="L21" s="26">
        <f>VLOOKUP(Cities!D21,Country!$A$4:$H$14,5,FALSE)</f>
        <v/>
      </c>
      <c r="M21" s="26">
        <f>VLOOKUP(Cities!D21,Country!$A$4:$H$14,6,FALSE)</f>
        <v/>
      </c>
      <c r="N21" s="26">
        <f>VLOOKUP(Cities!D21,Country!$A$4:$H$14,7,FALSE)</f>
        <v/>
      </c>
      <c r="O21" s="26">
        <f>VLOOKUP(Cities!D21,Country!$A$4:$H$14,8,FALSE)</f>
        <v/>
      </c>
      <c r="P21" s="26">
        <f>G21*L21+H21*M21+I21*N21+O21</f>
        <v/>
      </c>
      <c r="Q21" s="26">
        <f>Cities!J21</f>
        <v/>
      </c>
      <c r="R21" s="26">
        <f>200+C21*80</f>
        <v/>
      </c>
      <c r="S21" s="26">
        <f>350+C21*50+300+C21*30</f>
        <v/>
      </c>
      <c r="T21" s="26">
        <f>Cities!U21</f>
        <v/>
      </c>
      <c r="U21" s="26">
        <f>Cities!L21/60</f>
        <v/>
      </c>
      <c r="V21" s="26">
        <f>Q21+P21+R21+S21+T21</f>
        <v/>
      </c>
      <c r="W21" s="24">
        <f>C21*Cities!F21*Cities!G21</f>
        <v/>
      </c>
      <c r="X21" s="24">
        <f>INT(W21*Cities!O21)</f>
        <v/>
      </c>
      <c r="Y21" s="24">
        <f>INT(W21*Cities!P21)</f>
        <v/>
      </c>
      <c r="Z21" s="24">
        <f>CEILING((V21+U21)/AB21,1)</f>
        <v/>
      </c>
      <c r="AA21" s="27">
        <f>Cities!H21*Cities!I21</f>
        <v/>
      </c>
      <c r="AB21" s="27">
        <f>Cities!H21-AA21</f>
        <v/>
      </c>
      <c r="AC21" s="26">
        <f>IF((X21*AB21-V21-U21)&gt;0, (X21*AB21-V21-U21)*(1-K21), X21*AB21-V21-U21)</f>
        <v/>
      </c>
      <c r="AD21" s="26">
        <f>IF((Y21*AB21-V21-U21)&gt;0, (Y21*AB21-V21-U21)*(1-K21), Y21*AB21-V21-U21)</f>
        <v/>
      </c>
      <c r="AE21" s="26">
        <f>AC21+U21</f>
        <v/>
      </c>
      <c r="AF21" s="26">
        <f>AD21+U21</f>
        <v/>
      </c>
      <c r="AG21" s="26">
        <f>FLOOR((Cities!K21+Cities!L21+Cities!M21+Cities!T21+Cities!J21*Cities!N21)*0.92,5000)</f>
        <v/>
      </c>
      <c r="AH21" s="26">
        <f>CEILING((Cities!K21+Cities!L21+Cities!M21+Cities!T21+Cities!J21*Cities!N21)*1.08,5000)</f>
        <v/>
      </c>
      <c r="AI21" s="26">
        <f>(AG21+AH21)/2</f>
        <v/>
      </c>
      <c r="AJ21" s="24">
        <f>IF(AE21*12&gt;=AI21, IF(AE21&gt;0,CEILING(AI21/AE21,1),999), IF(AF21&gt;0,12+CEILING((AI21-AE21*12)/AF21,1),999))</f>
        <v/>
      </c>
      <c r="AK21" s="28">
        <f>IF(V21&gt;0,AD21/V21,0)</f>
        <v/>
      </c>
      <c r="AL21" s="29">
        <f>IF(Z21&lt;W21*0.8,"✓ YES","⚠ TIGHT")</f>
        <v/>
      </c>
    </row>
    <row r="22">
      <c r="A22" s="15">
        <f>Cities!A22</f>
        <v/>
      </c>
      <c r="B22" s="9">
        <f>Cities!D22</f>
        <v/>
      </c>
      <c r="C22" s="24">
        <f>IF(Cities!E22&lt;=750,3,IF(Cities!E22&lt;=850,4,5))</f>
        <v/>
      </c>
      <c r="D22" s="24">
        <f>C22-1</f>
        <v/>
      </c>
      <c r="E22" s="24">
        <f>C22+D22</f>
        <v/>
      </c>
      <c r="F22" s="24">
        <f>IF(C22&lt;=4,2,3)</f>
        <v/>
      </c>
      <c r="G22" s="24">
        <f>IF(C22&lt;=4,2,3)</f>
        <v/>
      </c>
      <c r="H22" s="24">
        <f>C22-G22</f>
        <v/>
      </c>
      <c r="I22" s="24">
        <f>CEILING(C22/2,1)</f>
        <v/>
      </c>
      <c r="J22" s="24">
        <f>G22+H22+I22+1</f>
        <v/>
      </c>
      <c r="K22" s="25">
        <f>VLOOKUP(Cities!D22,Country!$A$4:$H$14,3,FALSE)</f>
        <v/>
      </c>
      <c r="L22" s="26">
        <f>VLOOKUP(Cities!D22,Country!$A$4:$H$14,5,FALSE)</f>
        <v/>
      </c>
      <c r="M22" s="26">
        <f>VLOOKUP(Cities!D22,Country!$A$4:$H$14,6,FALSE)</f>
        <v/>
      </c>
      <c r="N22" s="26">
        <f>VLOOKUP(Cities!D22,Country!$A$4:$H$14,7,FALSE)</f>
        <v/>
      </c>
      <c r="O22" s="26">
        <f>VLOOKUP(Cities!D22,Country!$A$4:$H$14,8,FALSE)</f>
        <v/>
      </c>
      <c r="P22" s="26">
        <f>G22*L22+H22*M22+I22*N22+O22</f>
        <v/>
      </c>
      <c r="Q22" s="26">
        <f>Cities!J22</f>
        <v/>
      </c>
      <c r="R22" s="26">
        <f>200+C22*80</f>
        <v/>
      </c>
      <c r="S22" s="26">
        <f>350+C22*50+300+C22*30</f>
        <v/>
      </c>
      <c r="T22" s="26">
        <f>Cities!U22</f>
        <v/>
      </c>
      <c r="U22" s="26">
        <f>Cities!L22/60</f>
        <v/>
      </c>
      <c r="V22" s="26">
        <f>Q22+P22+R22+S22+T22</f>
        <v/>
      </c>
      <c r="W22" s="24">
        <f>C22*Cities!F22*Cities!G22</f>
        <v/>
      </c>
      <c r="X22" s="24">
        <f>INT(W22*Cities!O22)</f>
        <v/>
      </c>
      <c r="Y22" s="24">
        <f>INT(W22*Cities!P22)</f>
        <v/>
      </c>
      <c r="Z22" s="24">
        <f>CEILING((V22+U22)/AB22,1)</f>
        <v/>
      </c>
      <c r="AA22" s="27">
        <f>Cities!H22*Cities!I22</f>
        <v/>
      </c>
      <c r="AB22" s="27">
        <f>Cities!H22-AA22</f>
        <v/>
      </c>
      <c r="AC22" s="26">
        <f>IF((X22*AB22-V22-U22)&gt;0, (X22*AB22-V22-U22)*(1-K22), X22*AB22-V22-U22)</f>
        <v/>
      </c>
      <c r="AD22" s="26">
        <f>IF((Y22*AB22-V22-U22)&gt;0, (Y22*AB22-V22-U22)*(1-K22), Y22*AB22-V22-U22)</f>
        <v/>
      </c>
      <c r="AE22" s="26">
        <f>AC22+U22</f>
        <v/>
      </c>
      <c r="AF22" s="26">
        <f>AD22+U22</f>
        <v/>
      </c>
      <c r="AG22" s="26">
        <f>FLOOR((Cities!K22+Cities!L22+Cities!M22+Cities!T22+Cities!J22*Cities!N22)*0.92,5000)</f>
        <v/>
      </c>
      <c r="AH22" s="26">
        <f>CEILING((Cities!K22+Cities!L22+Cities!M22+Cities!T22+Cities!J22*Cities!N22)*1.08,5000)</f>
        <v/>
      </c>
      <c r="AI22" s="26">
        <f>(AG22+AH22)/2</f>
        <v/>
      </c>
      <c r="AJ22" s="24">
        <f>IF(AE22*12&gt;=AI22, IF(AE22&gt;0,CEILING(AI22/AE22,1),999), IF(AF22&gt;0,12+CEILING((AI22-AE22*12)/AF22,1),999))</f>
        <v/>
      </c>
      <c r="AK22" s="28">
        <f>IF(V22&gt;0,AD22/V22,0)</f>
        <v/>
      </c>
      <c r="AL22" s="29">
        <f>IF(Z22&lt;W22*0.8,"✓ YES","⚠ TIGHT")</f>
        <v/>
      </c>
    </row>
    <row r="23">
      <c r="A23" s="15">
        <f>Cities!A23</f>
        <v/>
      </c>
      <c r="B23" s="9">
        <f>Cities!D23</f>
        <v/>
      </c>
      <c r="C23" s="24">
        <f>IF(Cities!E23&lt;=750,3,IF(Cities!E23&lt;=850,4,5))</f>
        <v/>
      </c>
      <c r="D23" s="24">
        <f>C23-1</f>
        <v/>
      </c>
      <c r="E23" s="24">
        <f>C23+D23</f>
        <v/>
      </c>
      <c r="F23" s="24">
        <f>IF(C23&lt;=4,2,3)</f>
        <v/>
      </c>
      <c r="G23" s="24">
        <f>IF(C23&lt;=4,2,3)</f>
        <v/>
      </c>
      <c r="H23" s="24">
        <f>C23-G23</f>
        <v/>
      </c>
      <c r="I23" s="24">
        <f>CEILING(C23/2,1)</f>
        <v/>
      </c>
      <c r="J23" s="24">
        <f>G23+H23+I23+1</f>
        <v/>
      </c>
      <c r="K23" s="25">
        <f>VLOOKUP(Cities!D23,Country!$A$4:$H$14,3,FALSE)</f>
        <v/>
      </c>
      <c r="L23" s="26">
        <f>VLOOKUP(Cities!D23,Country!$A$4:$H$14,5,FALSE)</f>
        <v/>
      </c>
      <c r="M23" s="26">
        <f>VLOOKUP(Cities!D23,Country!$A$4:$H$14,6,FALSE)</f>
        <v/>
      </c>
      <c r="N23" s="26">
        <f>VLOOKUP(Cities!D23,Country!$A$4:$H$14,7,FALSE)</f>
        <v/>
      </c>
      <c r="O23" s="26">
        <f>VLOOKUP(Cities!D23,Country!$A$4:$H$14,8,FALSE)</f>
        <v/>
      </c>
      <c r="P23" s="26">
        <f>G23*L23+H23*M23+I23*N23+O23</f>
        <v/>
      </c>
      <c r="Q23" s="26">
        <f>Cities!J23</f>
        <v/>
      </c>
      <c r="R23" s="26">
        <f>200+C23*80</f>
        <v/>
      </c>
      <c r="S23" s="26">
        <f>350+C23*50+300+C23*30</f>
        <v/>
      </c>
      <c r="T23" s="26">
        <f>Cities!U23</f>
        <v/>
      </c>
      <c r="U23" s="26">
        <f>Cities!L23/60</f>
        <v/>
      </c>
      <c r="V23" s="26">
        <f>Q23+P23+R23+S23+T23</f>
        <v/>
      </c>
      <c r="W23" s="24">
        <f>C23*Cities!F23*Cities!G23</f>
        <v/>
      </c>
      <c r="X23" s="24">
        <f>INT(W23*Cities!O23)</f>
        <v/>
      </c>
      <c r="Y23" s="24">
        <f>INT(W23*Cities!P23)</f>
        <v/>
      </c>
      <c r="Z23" s="24">
        <f>CEILING((V23+U23)/AB23,1)</f>
        <v/>
      </c>
      <c r="AA23" s="27">
        <f>Cities!H23*Cities!I23</f>
        <v/>
      </c>
      <c r="AB23" s="27">
        <f>Cities!H23-AA23</f>
        <v/>
      </c>
      <c r="AC23" s="26">
        <f>IF((X23*AB23-V23-U23)&gt;0, (X23*AB23-V23-U23)*(1-K23), X23*AB23-V23-U23)</f>
        <v/>
      </c>
      <c r="AD23" s="26">
        <f>IF((Y23*AB23-V23-U23)&gt;0, (Y23*AB23-V23-U23)*(1-K23), Y23*AB23-V23-U23)</f>
        <v/>
      </c>
      <c r="AE23" s="26">
        <f>AC23+U23</f>
        <v/>
      </c>
      <c r="AF23" s="26">
        <f>AD23+U23</f>
        <v/>
      </c>
      <c r="AG23" s="26">
        <f>FLOOR((Cities!K23+Cities!L23+Cities!M23+Cities!T23+Cities!J23*Cities!N23)*0.92,5000)</f>
        <v/>
      </c>
      <c r="AH23" s="26">
        <f>CEILING((Cities!K23+Cities!L23+Cities!M23+Cities!T23+Cities!J23*Cities!N23)*1.08,5000)</f>
        <v/>
      </c>
      <c r="AI23" s="26">
        <f>(AG23+AH23)/2</f>
        <v/>
      </c>
      <c r="AJ23" s="24">
        <f>IF(AE23*12&gt;=AI23, IF(AE23&gt;0,CEILING(AI23/AE23,1),999), IF(AF23&gt;0,12+CEILING((AI23-AE23*12)/AF23,1),999))</f>
        <v/>
      </c>
      <c r="AK23" s="28">
        <f>IF(V23&gt;0,AD23/V23,0)</f>
        <v/>
      </c>
      <c r="AL23" s="29">
        <f>IF(Z23&lt;W23*0.8,"✓ YES","⚠ TIGHT")</f>
        <v/>
      </c>
    </row>
    <row r="24">
      <c r="A24" s="15">
        <f>Cities!A24</f>
        <v/>
      </c>
      <c r="B24" s="9">
        <f>Cities!D24</f>
        <v/>
      </c>
      <c r="C24" s="24">
        <f>IF(Cities!E24&lt;=750,3,IF(Cities!E24&lt;=850,4,5))</f>
        <v/>
      </c>
      <c r="D24" s="24">
        <f>C24-1</f>
        <v/>
      </c>
      <c r="E24" s="24">
        <f>C24+D24</f>
        <v/>
      </c>
      <c r="F24" s="24">
        <f>IF(C24&lt;=4,2,3)</f>
        <v/>
      </c>
      <c r="G24" s="24">
        <f>IF(C24&lt;=4,2,3)</f>
        <v/>
      </c>
      <c r="H24" s="24">
        <f>C24-G24</f>
        <v/>
      </c>
      <c r="I24" s="24">
        <f>CEILING(C24/2,1)</f>
        <v/>
      </c>
      <c r="J24" s="24">
        <f>G24+H24+I24+1</f>
        <v/>
      </c>
      <c r="K24" s="25">
        <f>VLOOKUP(Cities!D24,Country!$A$4:$H$14,3,FALSE)</f>
        <v/>
      </c>
      <c r="L24" s="26">
        <f>VLOOKUP(Cities!D24,Country!$A$4:$H$14,5,FALSE)</f>
        <v/>
      </c>
      <c r="M24" s="26">
        <f>VLOOKUP(Cities!D24,Country!$A$4:$H$14,6,FALSE)</f>
        <v/>
      </c>
      <c r="N24" s="26">
        <f>VLOOKUP(Cities!D24,Country!$A$4:$H$14,7,FALSE)</f>
        <v/>
      </c>
      <c r="O24" s="26">
        <f>VLOOKUP(Cities!D24,Country!$A$4:$H$14,8,FALSE)</f>
        <v/>
      </c>
      <c r="P24" s="26">
        <f>G24*L24+H24*M24+I24*N24+O24</f>
        <v/>
      </c>
      <c r="Q24" s="26">
        <f>Cities!J24</f>
        <v/>
      </c>
      <c r="R24" s="26">
        <f>200+C24*80</f>
        <v/>
      </c>
      <c r="S24" s="26">
        <f>350+C24*50+300+C24*30</f>
        <v/>
      </c>
      <c r="T24" s="26">
        <f>Cities!U24</f>
        <v/>
      </c>
      <c r="U24" s="26">
        <f>Cities!L24/60</f>
        <v/>
      </c>
      <c r="V24" s="26">
        <f>Q24+P24+R24+S24+T24</f>
        <v/>
      </c>
      <c r="W24" s="24">
        <f>C24*Cities!F24*Cities!G24</f>
        <v/>
      </c>
      <c r="X24" s="24">
        <f>INT(W24*Cities!O24)</f>
        <v/>
      </c>
      <c r="Y24" s="24">
        <f>INT(W24*Cities!P24)</f>
        <v/>
      </c>
      <c r="Z24" s="24">
        <f>CEILING((V24+U24)/AB24,1)</f>
        <v/>
      </c>
      <c r="AA24" s="27">
        <f>Cities!H24*Cities!I24</f>
        <v/>
      </c>
      <c r="AB24" s="27">
        <f>Cities!H24-AA24</f>
        <v/>
      </c>
      <c r="AC24" s="26">
        <f>IF((X24*AB24-V24-U24)&gt;0, (X24*AB24-V24-U24)*(1-K24), X24*AB24-V24-U24)</f>
        <v/>
      </c>
      <c r="AD24" s="26">
        <f>IF((Y24*AB24-V24-U24)&gt;0, (Y24*AB24-V24-U24)*(1-K24), Y24*AB24-V24-U24)</f>
        <v/>
      </c>
      <c r="AE24" s="26">
        <f>AC24+U24</f>
        <v/>
      </c>
      <c r="AF24" s="26">
        <f>AD24+U24</f>
        <v/>
      </c>
      <c r="AG24" s="26">
        <f>FLOOR((Cities!K24+Cities!L24+Cities!M24+Cities!T24+Cities!J24*Cities!N24)*0.92,5000)</f>
        <v/>
      </c>
      <c r="AH24" s="26">
        <f>CEILING((Cities!K24+Cities!L24+Cities!M24+Cities!T24+Cities!J24*Cities!N24)*1.08,5000)</f>
        <v/>
      </c>
      <c r="AI24" s="26">
        <f>(AG24+AH24)/2</f>
        <v/>
      </c>
      <c r="AJ24" s="24">
        <f>IF(AE24*12&gt;=AI24, IF(AE24&gt;0,CEILING(AI24/AE24,1),999), IF(AF24&gt;0,12+CEILING((AI24-AE24*12)/AF24,1),999))</f>
        <v/>
      </c>
      <c r="AK24" s="28">
        <f>IF(V24&gt;0,AD24/V24,0)</f>
        <v/>
      </c>
      <c r="AL24" s="29">
        <f>IF(Z24&lt;W24*0.8,"✓ YES","⚠ TIGHT")</f>
        <v/>
      </c>
    </row>
    <row r="25">
      <c r="A25" s="15">
        <f>Cities!A25</f>
        <v/>
      </c>
      <c r="B25" s="9">
        <f>Cities!D25</f>
        <v/>
      </c>
      <c r="C25" s="24">
        <f>IF(Cities!E25&lt;=750,3,IF(Cities!E25&lt;=850,4,5))</f>
        <v/>
      </c>
      <c r="D25" s="24">
        <f>C25-1</f>
        <v/>
      </c>
      <c r="E25" s="24">
        <f>C25+D25</f>
        <v/>
      </c>
      <c r="F25" s="24">
        <f>IF(C25&lt;=4,2,3)</f>
        <v/>
      </c>
      <c r="G25" s="24">
        <f>IF(C25&lt;=4,2,3)</f>
        <v/>
      </c>
      <c r="H25" s="24">
        <f>C25-G25</f>
        <v/>
      </c>
      <c r="I25" s="24">
        <f>CEILING(C25/2,1)</f>
        <v/>
      </c>
      <c r="J25" s="24">
        <f>G25+H25+I25+1</f>
        <v/>
      </c>
      <c r="K25" s="25">
        <f>VLOOKUP(Cities!D25,Country!$A$4:$H$14,3,FALSE)</f>
        <v/>
      </c>
      <c r="L25" s="26">
        <f>VLOOKUP(Cities!D25,Country!$A$4:$H$14,5,FALSE)</f>
        <v/>
      </c>
      <c r="M25" s="26">
        <f>VLOOKUP(Cities!D25,Country!$A$4:$H$14,6,FALSE)</f>
        <v/>
      </c>
      <c r="N25" s="26">
        <f>VLOOKUP(Cities!D25,Country!$A$4:$H$14,7,FALSE)</f>
        <v/>
      </c>
      <c r="O25" s="26">
        <f>VLOOKUP(Cities!D25,Country!$A$4:$H$14,8,FALSE)</f>
        <v/>
      </c>
      <c r="P25" s="26">
        <f>G25*L25+H25*M25+I25*N25+O25</f>
        <v/>
      </c>
      <c r="Q25" s="26">
        <f>Cities!J25</f>
        <v/>
      </c>
      <c r="R25" s="26">
        <f>200+C25*80</f>
        <v/>
      </c>
      <c r="S25" s="26">
        <f>350+C25*50+300+C25*30</f>
        <v/>
      </c>
      <c r="T25" s="26">
        <f>Cities!U25</f>
        <v/>
      </c>
      <c r="U25" s="26">
        <f>Cities!L25/60</f>
        <v/>
      </c>
      <c r="V25" s="26">
        <f>Q25+P25+R25+S25+T25</f>
        <v/>
      </c>
      <c r="W25" s="24">
        <f>C25*Cities!F25*Cities!G25</f>
        <v/>
      </c>
      <c r="X25" s="24">
        <f>INT(W25*Cities!O25)</f>
        <v/>
      </c>
      <c r="Y25" s="24">
        <f>INT(W25*Cities!P25)</f>
        <v/>
      </c>
      <c r="Z25" s="24">
        <f>CEILING((V25+U25)/AB25,1)</f>
        <v/>
      </c>
      <c r="AA25" s="27">
        <f>Cities!H25*Cities!I25</f>
        <v/>
      </c>
      <c r="AB25" s="27">
        <f>Cities!H25-AA25</f>
        <v/>
      </c>
      <c r="AC25" s="26">
        <f>IF((X25*AB25-V25-U25)&gt;0, (X25*AB25-V25-U25)*(1-K25), X25*AB25-V25-U25)</f>
        <v/>
      </c>
      <c r="AD25" s="26">
        <f>IF((Y25*AB25-V25-U25)&gt;0, (Y25*AB25-V25-U25)*(1-K25), Y25*AB25-V25-U25)</f>
        <v/>
      </c>
      <c r="AE25" s="26">
        <f>AC25+U25</f>
        <v/>
      </c>
      <c r="AF25" s="26">
        <f>AD25+U25</f>
        <v/>
      </c>
      <c r="AG25" s="26">
        <f>FLOOR((Cities!K25+Cities!L25+Cities!M25+Cities!T25+Cities!J25*Cities!N25)*0.92,5000)</f>
        <v/>
      </c>
      <c r="AH25" s="26">
        <f>CEILING((Cities!K25+Cities!L25+Cities!M25+Cities!T25+Cities!J25*Cities!N25)*1.08,5000)</f>
        <v/>
      </c>
      <c r="AI25" s="26">
        <f>(AG25+AH25)/2</f>
        <v/>
      </c>
      <c r="AJ25" s="24">
        <f>IF(AE25*12&gt;=AI25, IF(AE25&gt;0,CEILING(AI25/AE25,1),999), IF(AF25&gt;0,12+CEILING((AI25-AE25*12)/AF25,1),999))</f>
        <v/>
      </c>
      <c r="AK25" s="28">
        <f>IF(V25&gt;0,AD25/V25,0)</f>
        <v/>
      </c>
      <c r="AL25" s="29">
        <f>IF(Z25&lt;W25*0.8,"✓ YES","⚠ TIGHT")</f>
        <v/>
      </c>
    </row>
    <row r="26">
      <c r="A26" s="15">
        <f>Cities!A26</f>
        <v/>
      </c>
      <c r="B26" s="9">
        <f>Cities!D26</f>
        <v/>
      </c>
      <c r="C26" s="24">
        <f>IF(Cities!E26&lt;=750,3,IF(Cities!E26&lt;=850,4,5))</f>
        <v/>
      </c>
      <c r="D26" s="24">
        <f>C26-1</f>
        <v/>
      </c>
      <c r="E26" s="24">
        <f>C26+D26</f>
        <v/>
      </c>
      <c r="F26" s="24">
        <f>IF(C26&lt;=4,2,3)</f>
        <v/>
      </c>
      <c r="G26" s="24">
        <f>IF(C26&lt;=4,2,3)</f>
        <v/>
      </c>
      <c r="H26" s="24">
        <f>C26-G26</f>
        <v/>
      </c>
      <c r="I26" s="24">
        <f>CEILING(C26/2,1)</f>
        <v/>
      </c>
      <c r="J26" s="24">
        <f>G26+H26+I26+1</f>
        <v/>
      </c>
      <c r="K26" s="25">
        <f>VLOOKUP(Cities!D26,Country!$A$4:$H$14,3,FALSE)</f>
        <v/>
      </c>
      <c r="L26" s="26">
        <f>VLOOKUP(Cities!D26,Country!$A$4:$H$14,5,FALSE)</f>
        <v/>
      </c>
      <c r="M26" s="26">
        <f>VLOOKUP(Cities!D26,Country!$A$4:$H$14,6,FALSE)</f>
        <v/>
      </c>
      <c r="N26" s="26">
        <f>VLOOKUP(Cities!D26,Country!$A$4:$H$14,7,FALSE)</f>
        <v/>
      </c>
      <c r="O26" s="26">
        <f>VLOOKUP(Cities!D26,Country!$A$4:$H$14,8,FALSE)</f>
        <v/>
      </c>
      <c r="P26" s="26">
        <f>G26*L26+H26*M26+I26*N26+O26</f>
        <v/>
      </c>
      <c r="Q26" s="26">
        <f>Cities!J26</f>
        <v/>
      </c>
      <c r="R26" s="26">
        <f>200+C26*80</f>
        <v/>
      </c>
      <c r="S26" s="26">
        <f>350+C26*50+300+C26*30</f>
        <v/>
      </c>
      <c r="T26" s="26">
        <f>Cities!U26</f>
        <v/>
      </c>
      <c r="U26" s="26">
        <f>Cities!L26/60</f>
        <v/>
      </c>
      <c r="V26" s="26">
        <f>Q26+P26+R26+S26+T26</f>
        <v/>
      </c>
      <c r="W26" s="24">
        <f>C26*Cities!F26*Cities!G26</f>
        <v/>
      </c>
      <c r="X26" s="24">
        <f>INT(W26*Cities!O26)</f>
        <v/>
      </c>
      <c r="Y26" s="24">
        <f>INT(W26*Cities!P26)</f>
        <v/>
      </c>
      <c r="Z26" s="24">
        <f>CEILING((V26+U26)/AB26,1)</f>
        <v/>
      </c>
      <c r="AA26" s="27">
        <f>Cities!H26*Cities!I26</f>
        <v/>
      </c>
      <c r="AB26" s="27">
        <f>Cities!H26-AA26</f>
        <v/>
      </c>
      <c r="AC26" s="26">
        <f>IF((X26*AB26-V26-U26)&gt;0, (X26*AB26-V26-U26)*(1-K26), X26*AB26-V26-U26)</f>
        <v/>
      </c>
      <c r="AD26" s="26">
        <f>IF((Y26*AB26-V26-U26)&gt;0, (Y26*AB26-V26-U26)*(1-K26), Y26*AB26-V26-U26)</f>
        <v/>
      </c>
      <c r="AE26" s="26">
        <f>AC26+U26</f>
        <v/>
      </c>
      <c r="AF26" s="26">
        <f>AD26+U26</f>
        <v/>
      </c>
      <c r="AG26" s="26">
        <f>FLOOR((Cities!K26+Cities!L26+Cities!M26+Cities!T26+Cities!J26*Cities!N26)*0.92,5000)</f>
        <v/>
      </c>
      <c r="AH26" s="26">
        <f>CEILING((Cities!K26+Cities!L26+Cities!M26+Cities!T26+Cities!J26*Cities!N26)*1.08,5000)</f>
        <v/>
      </c>
      <c r="AI26" s="26">
        <f>(AG26+AH26)/2</f>
        <v/>
      </c>
      <c r="AJ26" s="24">
        <f>IF(AE26*12&gt;=AI26, IF(AE26&gt;0,CEILING(AI26/AE26,1),999), IF(AF26&gt;0,12+CEILING((AI26-AE26*12)/AF26,1),999))</f>
        <v/>
      </c>
      <c r="AK26" s="28">
        <f>IF(V26&gt;0,AD26/V26,0)</f>
        <v/>
      </c>
      <c r="AL26" s="29">
        <f>IF(Z26&lt;W26*0.8,"✓ YES","⚠ TIGHT")</f>
        <v/>
      </c>
    </row>
    <row r="27">
      <c r="A27" s="15">
        <f>Cities!A27</f>
        <v/>
      </c>
      <c r="B27" s="9">
        <f>Cities!D27</f>
        <v/>
      </c>
      <c r="C27" s="24">
        <f>IF(Cities!E27&lt;=750,3,IF(Cities!E27&lt;=850,4,5))</f>
        <v/>
      </c>
      <c r="D27" s="24">
        <f>C27-1</f>
        <v/>
      </c>
      <c r="E27" s="24">
        <f>C27+D27</f>
        <v/>
      </c>
      <c r="F27" s="24">
        <f>IF(C27&lt;=4,2,3)</f>
        <v/>
      </c>
      <c r="G27" s="24">
        <f>IF(C27&lt;=4,2,3)</f>
        <v/>
      </c>
      <c r="H27" s="24">
        <f>C27-G27</f>
        <v/>
      </c>
      <c r="I27" s="24">
        <f>CEILING(C27/2,1)</f>
        <v/>
      </c>
      <c r="J27" s="24">
        <f>G27+H27+I27+1</f>
        <v/>
      </c>
      <c r="K27" s="25">
        <f>VLOOKUP(Cities!D27,Country!$A$4:$H$14,3,FALSE)</f>
        <v/>
      </c>
      <c r="L27" s="26">
        <f>VLOOKUP(Cities!D27,Country!$A$4:$H$14,5,FALSE)</f>
        <v/>
      </c>
      <c r="M27" s="26">
        <f>VLOOKUP(Cities!D27,Country!$A$4:$H$14,6,FALSE)</f>
        <v/>
      </c>
      <c r="N27" s="26">
        <f>VLOOKUP(Cities!D27,Country!$A$4:$H$14,7,FALSE)</f>
        <v/>
      </c>
      <c r="O27" s="26">
        <f>VLOOKUP(Cities!D27,Country!$A$4:$H$14,8,FALSE)</f>
        <v/>
      </c>
      <c r="P27" s="26">
        <f>G27*L27+H27*M27+I27*N27+O27</f>
        <v/>
      </c>
      <c r="Q27" s="26">
        <f>Cities!J27</f>
        <v/>
      </c>
      <c r="R27" s="26">
        <f>200+C27*80</f>
        <v/>
      </c>
      <c r="S27" s="26">
        <f>350+C27*50+300+C27*30</f>
        <v/>
      </c>
      <c r="T27" s="26">
        <f>Cities!U27</f>
        <v/>
      </c>
      <c r="U27" s="26">
        <f>Cities!L27/60</f>
        <v/>
      </c>
      <c r="V27" s="26">
        <f>Q27+P27+R27+S27+T27</f>
        <v/>
      </c>
      <c r="W27" s="24">
        <f>C27*Cities!F27*Cities!G27</f>
        <v/>
      </c>
      <c r="X27" s="24">
        <f>INT(W27*Cities!O27)</f>
        <v/>
      </c>
      <c r="Y27" s="24">
        <f>INT(W27*Cities!P27)</f>
        <v/>
      </c>
      <c r="Z27" s="24">
        <f>CEILING((V27+U27)/AB27,1)</f>
        <v/>
      </c>
      <c r="AA27" s="27">
        <f>Cities!H27*Cities!I27</f>
        <v/>
      </c>
      <c r="AB27" s="27">
        <f>Cities!H27-AA27</f>
        <v/>
      </c>
      <c r="AC27" s="26">
        <f>IF((X27*AB27-V27-U27)&gt;0, (X27*AB27-V27-U27)*(1-K27), X27*AB27-V27-U27)</f>
        <v/>
      </c>
      <c r="AD27" s="26">
        <f>IF((Y27*AB27-V27-U27)&gt;0, (Y27*AB27-V27-U27)*(1-K27), Y27*AB27-V27-U27)</f>
        <v/>
      </c>
      <c r="AE27" s="26">
        <f>AC27+U27</f>
        <v/>
      </c>
      <c r="AF27" s="26">
        <f>AD27+U27</f>
        <v/>
      </c>
      <c r="AG27" s="26">
        <f>FLOOR((Cities!K27+Cities!L27+Cities!M27+Cities!T27+Cities!J27*Cities!N27)*0.92,5000)</f>
        <v/>
      </c>
      <c r="AH27" s="26">
        <f>CEILING((Cities!K27+Cities!L27+Cities!M27+Cities!T27+Cities!J27*Cities!N27)*1.08,5000)</f>
        <v/>
      </c>
      <c r="AI27" s="26">
        <f>(AG27+AH27)/2</f>
        <v/>
      </c>
      <c r="AJ27" s="24">
        <f>IF(AE27*12&gt;=AI27, IF(AE27&gt;0,CEILING(AI27/AE27,1),999), IF(AF27&gt;0,12+CEILING((AI27-AE27*12)/AF27,1),999))</f>
        <v/>
      </c>
      <c r="AK27" s="28">
        <f>IF(V27&gt;0,AD27/V27,0)</f>
        <v/>
      </c>
      <c r="AL27" s="29">
        <f>IF(Z27&lt;W27*0.8,"✓ YES","⚠ TIGHT")</f>
        <v/>
      </c>
    </row>
    <row r="28">
      <c r="A28" s="15">
        <f>Cities!A28</f>
        <v/>
      </c>
      <c r="B28" s="9">
        <f>Cities!D28</f>
        <v/>
      </c>
      <c r="C28" s="24">
        <f>IF(Cities!E28&lt;=750,3,IF(Cities!E28&lt;=850,4,5))</f>
        <v/>
      </c>
      <c r="D28" s="24">
        <f>C28-1</f>
        <v/>
      </c>
      <c r="E28" s="24">
        <f>C28+D28</f>
        <v/>
      </c>
      <c r="F28" s="24">
        <f>IF(C28&lt;=4,2,3)</f>
        <v/>
      </c>
      <c r="G28" s="24">
        <f>IF(C28&lt;=4,2,3)</f>
        <v/>
      </c>
      <c r="H28" s="24">
        <f>C28-G28</f>
        <v/>
      </c>
      <c r="I28" s="24">
        <f>CEILING(C28/2,1)</f>
        <v/>
      </c>
      <c r="J28" s="24">
        <f>G28+H28+I28+1</f>
        <v/>
      </c>
      <c r="K28" s="25">
        <f>VLOOKUP(Cities!D28,Country!$A$4:$H$14,3,FALSE)</f>
        <v/>
      </c>
      <c r="L28" s="26">
        <f>VLOOKUP(Cities!D28,Country!$A$4:$H$14,5,FALSE)</f>
        <v/>
      </c>
      <c r="M28" s="26">
        <f>VLOOKUP(Cities!D28,Country!$A$4:$H$14,6,FALSE)</f>
        <v/>
      </c>
      <c r="N28" s="26">
        <f>VLOOKUP(Cities!D28,Country!$A$4:$H$14,7,FALSE)</f>
        <v/>
      </c>
      <c r="O28" s="26">
        <f>VLOOKUP(Cities!D28,Country!$A$4:$H$14,8,FALSE)</f>
        <v/>
      </c>
      <c r="P28" s="26">
        <f>G28*L28+H28*M28+I28*N28+O28</f>
        <v/>
      </c>
      <c r="Q28" s="26">
        <f>Cities!J28</f>
        <v/>
      </c>
      <c r="R28" s="26">
        <f>200+C28*80</f>
        <v/>
      </c>
      <c r="S28" s="26">
        <f>350+C28*50+300+C28*30</f>
        <v/>
      </c>
      <c r="T28" s="26">
        <f>Cities!U28</f>
        <v/>
      </c>
      <c r="U28" s="26">
        <f>Cities!L28/60</f>
        <v/>
      </c>
      <c r="V28" s="26">
        <f>Q28+P28+R28+S28+T28</f>
        <v/>
      </c>
      <c r="W28" s="24">
        <f>C28*Cities!F28*Cities!G28</f>
        <v/>
      </c>
      <c r="X28" s="24">
        <f>INT(W28*Cities!O28)</f>
        <v/>
      </c>
      <c r="Y28" s="24">
        <f>INT(W28*Cities!P28)</f>
        <v/>
      </c>
      <c r="Z28" s="24">
        <f>CEILING((V28+U28)/AB28,1)</f>
        <v/>
      </c>
      <c r="AA28" s="27">
        <f>Cities!H28*Cities!I28</f>
        <v/>
      </c>
      <c r="AB28" s="27">
        <f>Cities!H28-AA28</f>
        <v/>
      </c>
      <c r="AC28" s="26">
        <f>IF((X28*AB28-V28-U28)&gt;0, (X28*AB28-V28-U28)*(1-K28), X28*AB28-V28-U28)</f>
        <v/>
      </c>
      <c r="AD28" s="26">
        <f>IF((Y28*AB28-V28-U28)&gt;0, (Y28*AB28-V28-U28)*(1-K28), Y28*AB28-V28-U28)</f>
        <v/>
      </c>
      <c r="AE28" s="26">
        <f>AC28+U28</f>
        <v/>
      </c>
      <c r="AF28" s="26">
        <f>AD28+U28</f>
        <v/>
      </c>
      <c r="AG28" s="26">
        <f>FLOOR((Cities!K28+Cities!L28+Cities!M28+Cities!T28+Cities!J28*Cities!N28)*0.92,5000)</f>
        <v/>
      </c>
      <c r="AH28" s="26">
        <f>CEILING((Cities!K28+Cities!L28+Cities!M28+Cities!T28+Cities!J28*Cities!N28)*1.08,5000)</f>
        <v/>
      </c>
      <c r="AI28" s="26">
        <f>(AG28+AH28)/2</f>
        <v/>
      </c>
      <c r="AJ28" s="24">
        <f>IF(AE28*12&gt;=AI28, IF(AE28&gt;0,CEILING(AI28/AE28,1),999), IF(AF28&gt;0,12+CEILING((AI28-AE28*12)/AF28,1),999))</f>
        <v/>
      </c>
      <c r="AK28" s="28">
        <f>IF(V28&gt;0,AD28/V28,0)</f>
        <v/>
      </c>
      <c r="AL28" s="29">
        <f>IF(Z28&lt;W28*0.8,"✓ YES","⚠ TIGHT")</f>
        <v/>
      </c>
    </row>
    <row r="29">
      <c r="A29" s="15">
        <f>Cities!A29</f>
        <v/>
      </c>
      <c r="B29" s="9">
        <f>Cities!D29</f>
        <v/>
      </c>
      <c r="C29" s="24">
        <f>IF(Cities!E29&lt;=750,3,IF(Cities!E29&lt;=850,4,5))</f>
        <v/>
      </c>
      <c r="D29" s="24">
        <f>C29-1</f>
        <v/>
      </c>
      <c r="E29" s="24">
        <f>C29+D29</f>
        <v/>
      </c>
      <c r="F29" s="24">
        <f>IF(C29&lt;=4,2,3)</f>
        <v/>
      </c>
      <c r="G29" s="24">
        <f>IF(C29&lt;=4,2,3)</f>
        <v/>
      </c>
      <c r="H29" s="24">
        <f>C29-G29</f>
        <v/>
      </c>
      <c r="I29" s="24">
        <f>CEILING(C29/2,1)</f>
        <v/>
      </c>
      <c r="J29" s="24">
        <f>G29+H29+I29+1</f>
        <v/>
      </c>
      <c r="K29" s="25">
        <f>VLOOKUP(Cities!D29,Country!$A$4:$H$14,3,FALSE)</f>
        <v/>
      </c>
      <c r="L29" s="26">
        <f>VLOOKUP(Cities!D29,Country!$A$4:$H$14,5,FALSE)</f>
        <v/>
      </c>
      <c r="M29" s="26">
        <f>VLOOKUP(Cities!D29,Country!$A$4:$H$14,6,FALSE)</f>
        <v/>
      </c>
      <c r="N29" s="26">
        <f>VLOOKUP(Cities!D29,Country!$A$4:$H$14,7,FALSE)</f>
        <v/>
      </c>
      <c r="O29" s="26">
        <f>VLOOKUP(Cities!D29,Country!$A$4:$H$14,8,FALSE)</f>
        <v/>
      </c>
      <c r="P29" s="26">
        <f>G29*L29+H29*M29+I29*N29+O29</f>
        <v/>
      </c>
      <c r="Q29" s="26">
        <f>Cities!J29</f>
        <v/>
      </c>
      <c r="R29" s="26">
        <f>200+C29*80</f>
        <v/>
      </c>
      <c r="S29" s="26">
        <f>350+C29*50+300+C29*30</f>
        <v/>
      </c>
      <c r="T29" s="26">
        <f>Cities!U29</f>
        <v/>
      </c>
      <c r="U29" s="26">
        <f>Cities!L29/60</f>
        <v/>
      </c>
      <c r="V29" s="26">
        <f>Q29+P29+R29+S29+T29</f>
        <v/>
      </c>
      <c r="W29" s="24">
        <f>C29*Cities!F29*Cities!G29</f>
        <v/>
      </c>
      <c r="X29" s="24">
        <f>INT(W29*Cities!O29)</f>
        <v/>
      </c>
      <c r="Y29" s="24">
        <f>INT(W29*Cities!P29)</f>
        <v/>
      </c>
      <c r="Z29" s="24">
        <f>CEILING((V29+U29)/AB29,1)</f>
        <v/>
      </c>
      <c r="AA29" s="27">
        <f>Cities!H29*Cities!I29</f>
        <v/>
      </c>
      <c r="AB29" s="27">
        <f>Cities!H29-AA29</f>
        <v/>
      </c>
      <c r="AC29" s="26">
        <f>IF((X29*AB29-V29-U29)&gt;0, (X29*AB29-V29-U29)*(1-K29), X29*AB29-V29-U29)</f>
        <v/>
      </c>
      <c r="AD29" s="26">
        <f>IF((Y29*AB29-V29-U29)&gt;0, (Y29*AB29-V29-U29)*(1-K29), Y29*AB29-V29-U29)</f>
        <v/>
      </c>
      <c r="AE29" s="26">
        <f>AC29+U29</f>
        <v/>
      </c>
      <c r="AF29" s="26">
        <f>AD29+U29</f>
        <v/>
      </c>
      <c r="AG29" s="26">
        <f>FLOOR((Cities!K29+Cities!L29+Cities!M29+Cities!T29+Cities!J29*Cities!N29)*0.92,5000)</f>
        <v/>
      </c>
      <c r="AH29" s="26">
        <f>CEILING((Cities!K29+Cities!L29+Cities!M29+Cities!T29+Cities!J29*Cities!N29)*1.08,5000)</f>
        <v/>
      </c>
      <c r="AI29" s="26">
        <f>(AG29+AH29)/2</f>
        <v/>
      </c>
      <c r="AJ29" s="24">
        <f>IF(AE29*12&gt;=AI29, IF(AE29&gt;0,CEILING(AI29/AE29,1),999), IF(AF29&gt;0,12+CEILING((AI29-AE29*12)/AF29,1),999))</f>
        <v/>
      </c>
      <c r="AK29" s="28">
        <f>IF(V29&gt;0,AD29/V29,0)</f>
        <v/>
      </c>
      <c r="AL29" s="29">
        <f>IF(Z29&lt;W29*0.8,"✓ YES","⚠ TIGHT")</f>
        <v/>
      </c>
    </row>
    <row r="30">
      <c r="A30" s="15">
        <f>Cities!A30</f>
        <v/>
      </c>
      <c r="B30" s="9">
        <f>Cities!D30</f>
        <v/>
      </c>
      <c r="C30" s="24">
        <f>IF(Cities!E30&lt;=750,3,IF(Cities!E30&lt;=850,4,5))</f>
        <v/>
      </c>
      <c r="D30" s="24">
        <f>C30-1</f>
        <v/>
      </c>
      <c r="E30" s="24">
        <f>C30+D30</f>
        <v/>
      </c>
      <c r="F30" s="24">
        <f>IF(C30&lt;=4,2,3)</f>
        <v/>
      </c>
      <c r="G30" s="24">
        <f>IF(C30&lt;=4,2,3)</f>
        <v/>
      </c>
      <c r="H30" s="24">
        <f>C30-G30</f>
        <v/>
      </c>
      <c r="I30" s="24">
        <f>CEILING(C30/2,1)</f>
        <v/>
      </c>
      <c r="J30" s="24">
        <f>G30+H30+I30+1</f>
        <v/>
      </c>
      <c r="K30" s="25">
        <f>VLOOKUP(Cities!D30,Country!$A$4:$H$14,3,FALSE)</f>
        <v/>
      </c>
      <c r="L30" s="26">
        <f>VLOOKUP(Cities!D30,Country!$A$4:$H$14,5,FALSE)</f>
        <v/>
      </c>
      <c r="M30" s="26">
        <f>VLOOKUP(Cities!D30,Country!$A$4:$H$14,6,FALSE)</f>
        <v/>
      </c>
      <c r="N30" s="26">
        <f>VLOOKUP(Cities!D30,Country!$A$4:$H$14,7,FALSE)</f>
        <v/>
      </c>
      <c r="O30" s="26">
        <f>VLOOKUP(Cities!D30,Country!$A$4:$H$14,8,FALSE)</f>
        <v/>
      </c>
      <c r="P30" s="26">
        <f>G30*L30+H30*M30+I30*N30+O30</f>
        <v/>
      </c>
      <c r="Q30" s="26">
        <f>Cities!J30</f>
        <v/>
      </c>
      <c r="R30" s="26">
        <f>200+C30*80</f>
        <v/>
      </c>
      <c r="S30" s="26">
        <f>350+C30*50+300+C30*30</f>
        <v/>
      </c>
      <c r="T30" s="26">
        <f>Cities!U30</f>
        <v/>
      </c>
      <c r="U30" s="26">
        <f>Cities!L30/60</f>
        <v/>
      </c>
      <c r="V30" s="26">
        <f>Q30+P30+R30+S30+T30</f>
        <v/>
      </c>
      <c r="W30" s="24">
        <f>C30*Cities!F30*Cities!G30</f>
        <v/>
      </c>
      <c r="X30" s="24">
        <f>INT(W30*Cities!O30)</f>
        <v/>
      </c>
      <c r="Y30" s="24">
        <f>INT(W30*Cities!P30)</f>
        <v/>
      </c>
      <c r="Z30" s="24">
        <f>CEILING((V30+U30)/AB30,1)</f>
        <v/>
      </c>
      <c r="AA30" s="27">
        <f>Cities!H30*Cities!I30</f>
        <v/>
      </c>
      <c r="AB30" s="27">
        <f>Cities!H30-AA30</f>
        <v/>
      </c>
      <c r="AC30" s="26">
        <f>IF((X30*AB30-V30-U30)&gt;0, (X30*AB30-V30-U30)*(1-K30), X30*AB30-V30-U30)</f>
        <v/>
      </c>
      <c r="AD30" s="26">
        <f>IF((Y30*AB30-V30-U30)&gt;0, (Y30*AB30-V30-U30)*(1-K30), Y30*AB30-V30-U30)</f>
        <v/>
      </c>
      <c r="AE30" s="26">
        <f>AC30+U30</f>
        <v/>
      </c>
      <c r="AF30" s="26">
        <f>AD30+U30</f>
        <v/>
      </c>
      <c r="AG30" s="26">
        <f>FLOOR((Cities!K30+Cities!L30+Cities!M30+Cities!T30+Cities!J30*Cities!N30)*0.92,5000)</f>
        <v/>
      </c>
      <c r="AH30" s="26">
        <f>CEILING((Cities!K30+Cities!L30+Cities!M30+Cities!T30+Cities!J30*Cities!N30)*1.08,5000)</f>
        <v/>
      </c>
      <c r="AI30" s="26">
        <f>(AG30+AH30)/2</f>
        <v/>
      </c>
      <c r="AJ30" s="24">
        <f>IF(AE30*12&gt;=AI30, IF(AE30&gt;0,CEILING(AI30/AE30,1),999), IF(AF30&gt;0,12+CEILING((AI30-AE30*12)/AF30,1),999))</f>
        <v/>
      </c>
      <c r="AK30" s="28">
        <f>IF(V30&gt;0,AD30/V30,0)</f>
        <v/>
      </c>
      <c r="AL30" s="29">
        <f>IF(Z30&lt;W30*0.8,"✓ YES","⚠ TIGHT")</f>
        <v/>
      </c>
    </row>
    <row r="31">
      <c r="A31" s="15">
        <f>Cities!A31</f>
        <v/>
      </c>
      <c r="B31" s="9">
        <f>Cities!D31</f>
        <v/>
      </c>
      <c r="C31" s="24">
        <f>IF(Cities!E31&lt;=750,3,IF(Cities!E31&lt;=850,4,5))</f>
        <v/>
      </c>
      <c r="D31" s="24">
        <f>C31-1</f>
        <v/>
      </c>
      <c r="E31" s="24">
        <f>C31+D31</f>
        <v/>
      </c>
      <c r="F31" s="24">
        <f>IF(C31&lt;=4,2,3)</f>
        <v/>
      </c>
      <c r="G31" s="24">
        <f>IF(C31&lt;=4,2,3)</f>
        <v/>
      </c>
      <c r="H31" s="24">
        <f>C31-G31</f>
        <v/>
      </c>
      <c r="I31" s="24">
        <f>CEILING(C31/2,1)</f>
        <v/>
      </c>
      <c r="J31" s="24">
        <f>G31+H31+I31+1</f>
        <v/>
      </c>
      <c r="K31" s="25">
        <f>VLOOKUP(Cities!D31,Country!$A$4:$H$14,3,FALSE)</f>
        <v/>
      </c>
      <c r="L31" s="26">
        <f>VLOOKUP(Cities!D31,Country!$A$4:$H$14,5,FALSE)</f>
        <v/>
      </c>
      <c r="M31" s="26">
        <f>VLOOKUP(Cities!D31,Country!$A$4:$H$14,6,FALSE)</f>
        <v/>
      </c>
      <c r="N31" s="26">
        <f>VLOOKUP(Cities!D31,Country!$A$4:$H$14,7,FALSE)</f>
        <v/>
      </c>
      <c r="O31" s="26">
        <f>VLOOKUP(Cities!D31,Country!$A$4:$H$14,8,FALSE)</f>
        <v/>
      </c>
      <c r="P31" s="26">
        <f>G31*L31+H31*M31+I31*N31+O31</f>
        <v/>
      </c>
      <c r="Q31" s="26">
        <f>Cities!J31</f>
        <v/>
      </c>
      <c r="R31" s="26">
        <f>200+C31*80</f>
        <v/>
      </c>
      <c r="S31" s="26">
        <f>350+C31*50+300+C31*30</f>
        <v/>
      </c>
      <c r="T31" s="26">
        <f>Cities!U31</f>
        <v/>
      </c>
      <c r="U31" s="26">
        <f>Cities!L31/60</f>
        <v/>
      </c>
      <c r="V31" s="26">
        <f>Q31+P31+R31+S31+T31</f>
        <v/>
      </c>
      <c r="W31" s="24">
        <f>C31*Cities!F31*Cities!G31</f>
        <v/>
      </c>
      <c r="X31" s="24">
        <f>INT(W31*Cities!O31)</f>
        <v/>
      </c>
      <c r="Y31" s="24">
        <f>INT(W31*Cities!P31)</f>
        <v/>
      </c>
      <c r="Z31" s="24">
        <f>CEILING((V31+U31)/AB31,1)</f>
        <v/>
      </c>
      <c r="AA31" s="27">
        <f>Cities!H31*Cities!I31</f>
        <v/>
      </c>
      <c r="AB31" s="27">
        <f>Cities!H31-AA31</f>
        <v/>
      </c>
      <c r="AC31" s="26">
        <f>IF((X31*AB31-V31-U31)&gt;0, (X31*AB31-V31-U31)*(1-K31), X31*AB31-V31-U31)</f>
        <v/>
      </c>
      <c r="AD31" s="26">
        <f>IF((Y31*AB31-V31-U31)&gt;0, (Y31*AB31-V31-U31)*(1-K31), Y31*AB31-V31-U31)</f>
        <v/>
      </c>
      <c r="AE31" s="26">
        <f>AC31+U31</f>
        <v/>
      </c>
      <c r="AF31" s="26">
        <f>AD31+U31</f>
        <v/>
      </c>
      <c r="AG31" s="26">
        <f>FLOOR((Cities!K31+Cities!L31+Cities!M31+Cities!T31+Cities!J31*Cities!N31)*0.92,5000)</f>
        <v/>
      </c>
      <c r="AH31" s="26">
        <f>CEILING((Cities!K31+Cities!L31+Cities!M31+Cities!T31+Cities!J31*Cities!N31)*1.08,5000)</f>
        <v/>
      </c>
      <c r="AI31" s="26">
        <f>(AG31+AH31)/2</f>
        <v/>
      </c>
      <c r="AJ31" s="24">
        <f>IF(AE31*12&gt;=AI31, IF(AE31&gt;0,CEILING(AI31/AE31,1),999), IF(AF31&gt;0,12+CEILING((AI31-AE31*12)/AF31,1),999))</f>
        <v/>
      </c>
      <c r="AK31" s="28">
        <f>IF(V31&gt;0,AD31/V31,0)</f>
        <v/>
      </c>
      <c r="AL31" s="29">
        <f>IF(Z31&lt;W31*0.8,"✓ YES","⚠ TIGHT")</f>
        <v/>
      </c>
    </row>
  </sheetData>
  <mergeCells count="14">
    <mergeCell ref="K3:O3"/>
    <mergeCell ref="F3:J3"/>
    <mergeCell ref="P3"/>
    <mergeCell ref="W3:Y3"/>
    <mergeCell ref="AC3:AF3"/>
    <mergeCell ref="AG3:AJ3"/>
    <mergeCell ref="AK3"/>
    <mergeCell ref="AL3"/>
    <mergeCell ref="A1:AL1"/>
    <mergeCell ref="C3:E3"/>
    <mergeCell ref="Z3:AB3"/>
    <mergeCell ref="A3:B3"/>
    <mergeCell ref="Q3:V3"/>
    <mergeCell ref="A2:AL2"/>
  </mergeCells>
  <conditionalFormatting sqref="AL5:AL31">
    <cfRule type="cellIs" priority="1" operator="containsText" dxfId="0">
      <formula>"✓"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Category</t>
        </is>
      </c>
      <c r="C1" t="inlineStr">
        <is>
          <t>Component</t>
        </is>
      </c>
      <c r="D1" t="inlineStr">
        <is>
          <t>Cost_USD</t>
        </is>
      </c>
      <c r="E1" t="inlineStr">
        <is>
          <t>Reference</t>
        </is>
      </c>
    </row>
    <row r="2">
      <c r="A2" t="inlineStr">
        <is>
          <t>Ho Chi Minh</t>
        </is>
      </c>
      <c r="B2" t="inlineStr">
        <is>
          <t>Fitout</t>
        </is>
      </c>
      <c r="C2" t="inlineStr">
        <is>
          <t>Interior Renovation &amp; Drywall Partitioning</t>
        </is>
      </c>
      <c r="D2" t="n">
        <v>8000</v>
      </c>
      <c r="E2" t="inlineStr">
        <is>
          <t>Local contractor labor and material cost estimates</t>
        </is>
      </c>
    </row>
    <row r="3">
      <c r="A3" t="inlineStr">
        <is>
          <t>Ho Chi Minh</t>
        </is>
      </c>
      <c r="B3" t="inlineStr">
        <is>
          <t>Fitout</t>
        </is>
      </c>
      <c r="C3" t="inlineStr">
        <is>
          <t>Custom Joinery (Vanity units, retail shelving)</t>
        </is>
      </c>
      <c r="D3" t="n">
        <v>6000</v>
      </c>
      <c r="E3" t="inlineStr">
        <is>
          <t>Custom carpenter fabrication quotes for salon styling stations</t>
        </is>
      </c>
    </row>
    <row r="4">
      <c r="A4" t="inlineStr">
        <is>
          <t>Ho Chi Minh</t>
        </is>
      </c>
      <c r="B4" t="inlineStr">
        <is>
          <t>Fitout</t>
        </is>
      </c>
      <c r="C4" t="inlineStr">
        <is>
          <t>Lighting &amp; Electrical Installations (High-CRI)</t>
        </is>
      </c>
      <c r="D4" t="n">
        <v>3000</v>
      </c>
      <c r="E4" t="inlineStr">
        <is>
          <t>Track lighting, wiring, and power outlet distribution quotes</t>
        </is>
      </c>
    </row>
    <row r="5">
      <c r="A5" t="inlineStr">
        <is>
          <t>Ho Chi Minh</t>
        </is>
      </c>
      <c r="B5" t="inlineStr">
        <is>
          <t>Fitout</t>
        </is>
      </c>
      <c r="C5" t="inlineStr">
        <is>
          <t>Flooring &amp; Ceiling Works</t>
        </is>
      </c>
      <c r="D5" t="n">
        <v>3000</v>
      </c>
      <c r="E5" t="inlineStr">
        <is>
          <t>Acoustic ceiling tiling and water-resistant wood/tile flooring quotes</t>
        </is>
      </c>
    </row>
    <row r="6">
      <c r="A6" t="inlineStr">
        <is>
          <t>Ho Chi Minh</t>
        </is>
      </c>
      <c r="B6" t="inlineStr">
        <is>
          <t>Equipment</t>
        </is>
      </c>
      <c r="C6" t="inlineStr">
        <is>
          <t>Takara Belmont Styling Chairs (4 units)</t>
        </is>
      </c>
      <c r="D6" t="n">
        <v>8000</v>
      </c>
      <c r="E6" t="inlineStr">
        <is>
          <t>Takara Belmont B2B Pricing Catalog (Premium Series)</t>
        </is>
      </c>
    </row>
    <row r="7">
      <c r="A7" t="inlineStr">
        <is>
          <t>Ho Chi Minh</t>
        </is>
      </c>
      <c r="B7" t="inlineStr">
        <is>
          <t>Equipment</t>
        </is>
      </c>
      <c r="C7" t="inlineStr">
        <is>
          <t>Takara Belmont Backwash Wash Basins (2 units)</t>
        </is>
      </c>
      <c r="D7" t="n">
        <v>7000</v>
      </c>
      <c r="E7" t="inlineStr">
        <is>
          <t>Takara Belmont Wash Systems Catalog 2025</t>
        </is>
      </c>
    </row>
    <row r="8">
      <c r="A8" t="inlineStr">
        <is>
          <t>Ho Chi Minh</t>
        </is>
      </c>
      <c r="B8" t="inlineStr">
        <is>
          <t>Equipment</t>
        </is>
      </c>
      <c r="C8" t="inlineStr">
        <is>
          <t>Water Softening &amp; Multi-Stage Filtration System</t>
        </is>
      </c>
      <c r="D8" t="n">
        <v>5000</v>
      </c>
      <c r="E8" t="inlineStr">
        <is>
          <t>Commercial RO system specifications and installation quote</t>
        </is>
      </c>
    </row>
    <row r="9">
      <c r="A9" t="inlineStr">
        <is>
          <t>Ho Chi Minh</t>
        </is>
      </c>
      <c r="B9" t="inlineStr">
        <is>
          <t>Other CAPEX</t>
        </is>
      </c>
      <c r="C9" t="inlineStr">
        <is>
          <t>Initial Color &amp; Chemical Inventory (Stock)</t>
        </is>
      </c>
      <c r="D9" t="n">
        <v>4500</v>
      </c>
      <c r="E9" t="inlineStr">
        <is>
          <t>Wella Professionals &amp; Milbon Distributor Starter Stock list</t>
        </is>
      </c>
    </row>
    <row r="10">
      <c r="A10" t="inlineStr">
        <is>
          <t>Ho Chi Minh</t>
        </is>
      </c>
      <c r="B10" t="inlineStr">
        <is>
          <t>Other CAPEX</t>
        </is>
      </c>
      <c r="C10" t="inlineStr">
        <is>
          <t>Professional Styling Tools (Dyson dryers, shears)</t>
        </is>
      </c>
      <c r="D10" t="n">
        <v>2250</v>
      </c>
      <c r="E10" t="inlineStr">
        <is>
          <t>Dyson Professional Partner Pricing &amp; shears kit catalog</t>
        </is>
      </c>
    </row>
    <row r="11">
      <c r="A11" t="inlineStr">
        <is>
          <t>Ho Chi Minh</t>
        </is>
      </c>
      <c r="B11" t="inlineStr">
        <is>
          <t>Other CAPEX</t>
        </is>
      </c>
      <c r="C11" t="inlineStr">
        <is>
          <t>Retail Product Initial Stock (Oribe, Kérastase)</t>
        </is>
      </c>
      <c r="D11" t="n">
        <v>2250</v>
      </c>
      <c r="E11" t="inlineStr">
        <is>
          <t>Oribe &amp; Kérastase B2B opening inventory order guidelines</t>
        </is>
      </c>
    </row>
    <row r="12">
      <c r="A12" t="inlineStr">
        <is>
          <t>Ho Chi Minh</t>
        </is>
      </c>
      <c r="B12" t="inlineStr">
        <is>
          <t>Deposit</t>
        </is>
      </c>
      <c r="C12" t="inlineStr">
        <is>
          <t>Commercial Landlord Security Deposit (3 months)</t>
        </is>
      </c>
      <c r="D12" t="n">
        <v>9000</v>
      </c>
      <c r="E12" t="inlineStr">
        <is>
          <t>Standard commercial landlord lease terms for prime retail</t>
        </is>
      </c>
    </row>
    <row r="13">
      <c r="A13" t="inlineStr">
        <is>
          <t>Ho Chi Minh</t>
        </is>
      </c>
      <c r="B13" t="inlineStr">
        <is>
          <t>Biz Reg</t>
        </is>
      </c>
      <c r="C13" t="inlineStr">
        <is>
          <t>Company Incorporation &amp; Legal Registrations</t>
        </is>
      </c>
      <c r="D13" t="n">
        <v>3900</v>
      </c>
      <c r="E13" t="inlineStr">
        <is>
          <t>Local Companies Registry &amp; foreign entity setup filing fees</t>
        </is>
      </c>
    </row>
    <row r="14">
      <c r="A14" t="inlineStr">
        <is>
          <t>Ho Chi Minh</t>
        </is>
      </c>
      <c r="B14" t="inlineStr">
        <is>
          <t>Biz Reg</t>
        </is>
      </c>
      <c r="C14" t="inlineStr">
        <is>
          <t>Annual Resident Agent &amp; Secretary Retainer</t>
        </is>
      </c>
      <c r="D14" t="n">
        <v>2600</v>
      </c>
      <c r="E14" t="inlineStr">
        <is>
          <t>Local corporate services provider standard annual pricing</t>
        </is>
      </c>
    </row>
    <row r="15">
      <c r="A15" t="inlineStr">
        <is>
          <t>Hanoi</t>
        </is>
      </c>
      <c r="B15" t="inlineStr">
        <is>
          <t>Fitout</t>
        </is>
      </c>
      <c r="C15" t="inlineStr">
        <is>
          <t>Interior Renovation &amp; Drywall Partitioning</t>
        </is>
      </c>
      <c r="D15" t="n">
        <v>7200</v>
      </c>
      <c r="E15" t="inlineStr">
        <is>
          <t>Local contractor labor and material cost estimates</t>
        </is>
      </c>
    </row>
    <row r="16">
      <c r="A16" t="inlineStr">
        <is>
          <t>Hanoi</t>
        </is>
      </c>
      <c r="B16" t="inlineStr">
        <is>
          <t>Fitout</t>
        </is>
      </c>
      <c r="C16" t="inlineStr">
        <is>
          <t>Custom Joinery (Vanity units, retail shelving)</t>
        </is>
      </c>
      <c r="D16" t="n">
        <v>5400</v>
      </c>
      <c r="E16" t="inlineStr">
        <is>
          <t>Custom carpenter fabrication quotes for salon styling stations</t>
        </is>
      </c>
    </row>
    <row r="17">
      <c r="A17" t="inlineStr">
        <is>
          <t>Hanoi</t>
        </is>
      </c>
      <c r="B17" t="inlineStr">
        <is>
          <t>Fitout</t>
        </is>
      </c>
      <c r="C17" t="inlineStr">
        <is>
          <t>Lighting &amp; Electrical Installations (High-CRI)</t>
        </is>
      </c>
      <c r="D17" t="n">
        <v>2700</v>
      </c>
      <c r="E17" t="inlineStr">
        <is>
          <t>Track lighting, wiring, and power outlet distribution quotes</t>
        </is>
      </c>
    </row>
    <row r="18">
      <c r="A18" t="inlineStr">
        <is>
          <t>Hanoi</t>
        </is>
      </c>
      <c r="B18" t="inlineStr">
        <is>
          <t>Fitout</t>
        </is>
      </c>
      <c r="C18" t="inlineStr">
        <is>
          <t>Flooring &amp; Ceiling Works</t>
        </is>
      </c>
      <c r="D18" t="n">
        <v>2700</v>
      </c>
      <c r="E18" t="inlineStr">
        <is>
          <t>Acoustic ceiling tiling and water-resistant wood/tile flooring quotes</t>
        </is>
      </c>
    </row>
    <row r="19">
      <c r="A19" t="inlineStr">
        <is>
          <t>Hanoi</t>
        </is>
      </c>
      <c r="B19" t="inlineStr">
        <is>
          <t>Equipment</t>
        </is>
      </c>
      <c r="C19" t="inlineStr">
        <is>
          <t>Takara Belmont Styling Chairs (4 units)</t>
        </is>
      </c>
      <c r="D19" t="n">
        <v>7200</v>
      </c>
      <c r="E19" t="inlineStr">
        <is>
          <t>Takara Belmont B2B Pricing Catalog (Premium Series)</t>
        </is>
      </c>
    </row>
    <row r="20">
      <c r="A20" t="inlineStr">
        <is>
          <t>Hanoi</t>
        </is>
      </c>
      <c r="B20" t="inlineStr">
        <is>
          <t>Equipment</t>
        </is>
      </c>
      <c r="C20" t="inlineStr">
        <is>
          <t>Takara Belmont Backwash Wash Basins (2 units)</t>
        </is>
      </c>
      <c r="D20" t="n">
        <v>6300</v>
      </c>
      <c r="E20" t="inlineStr">
        <is>
          <t>Takara Belmont Wash Systems Catalog 2025</t>
        </is>
      </c>
    </row>
    <row r="21">
      <c r="A21" t="inlineStr">
        <is>
          <t>Hanoi</t>
        </is>
      </c>
      <c r="B21" t="inlineStr">
        <is>
          <t>Equipment</t>
        </is>
      </c>
      <c r="C21" t="inlineStr">
        <is>
          <t>Water Softening &amp; Multi-Stage Filtration System</t>
        </is>
      </c>
      <c r="D21" t="n">
        <v>4500</v>
      </c>
      <c r="E21" t="inlineStr">
        <is>
          <t>Commercial RO system specifications and installation quote</t>
        </is>
      </c>
    </row>
    <row r="22">
      <c r="A22" t="inlineStr">
        <is>
          <t>Hanoi</t>
        </is>
      </c>
      <c r="B22" t="inlineStr">
        <is>
          <t>Other CAPEX</t>
        </is>
      </c>
      <c r="C22" t="inlineStr">
        <is>
          <t>Initial Color &amp; Chemical Inventory (Stock)</t>
        </is>
      </c>
      <c r="D22" t="n">
        <v>3800</v>
      </c>
      <c r="E22" t="inlineStr">
        <is>
          <t>Wella Professionals &amp; Milbon Distributor Starter Stock list</t>
        </is>
      </c>
    </row>
    <row r="23">
      <c r="A23" t="inlineStr">
        <is>
          <t>Hanoi</t>
        </is>
      </c>
      <c r="B23" t="inlineStr">
        <is>
          <t>Other CAPEX</t>
        </is>
      </c>
      <c r="C23" t="inlineStr">
        <is>
          <t>Professional Styling Tools (Dyson dryers, shears)</t>
        </is>
      </c>
      <c r="D23" t="n">
        <v>1900</v>
      </c>
      <c r="E23" t="inlineStr">
        <is>
          <t>Dyson Professional Partner Pricing &amp; shears kit catalog</t>
        </is>
      </c>
    </row>
    <row r="24">
      <c r="A24" t="inlineStr">
        <is>
          <t>Hanoi</t>
        </is>
      </c>
      <c r="B24" t="inlineStr">
        <is>
          <t>Other CAPEX</t>
        </is>
      </c>
      <c r="C24" t="inlineStr">
        <is>
          <t>Retail Product Initial Stock (Oribe, Kérastase)</t>
        </is>
      </c>
      <c r="D24" t="n">
        <v>1900</v>
      </c>
      <c r="E24" t="inlineStr">
        <is>
          <t>Oribe &amp; Kérastase B2B opening inventory order guidelines</t>
        </is>
      </c>
    </row>
    <row r="25">
      <c r="A25" t="inlineStr">
        <is>
          <t>Hanoi</t>
        </is>
      </c>
      <c r="B25" t="inlineStr">
        <is>
          <t>Deposit</t>
        </is>
      </c>
      <c r="C25" t="inlineStr">
        <is>
          <t>Commercial Landlord Security Deposit (3 months)</t>
        </is>
      </c>
      <c r="D25" t="n">
        <v>6600</v>
      </c>
      <c r="E25" t="inlineStr">
        <is>
          <t>Standard commercial landlord lease terms for prime retail</t>
        </is>
      </c>
    </row>
    <row r="26">
      <c r="A26" t="inlineStr">
        <is>
          <t>Hanoi</t>
        </is>
      </c>
      <c r="B26" t="inlineStr">
        <is>
          <t>Biz Reg</t>
        </is>
      </c>
      <c r="C26" t="inlineStr">
        <is>
          <t>Company Incorporation &amp; Legal Registrations</t>
        </is>
      </c>
      <c r="D26" t="n">
        <v>3900</v>
      </c>
      <c r="E26" t="inlineStr">
        <is>
          <t>Local Companies Registry &amp; foreign entity setup filing fees</t>
        </is>
      </c>
    </row>
    <row r="27">
      <c r="A27" t="inlineStr">
        <is>
          <t>Hanoi</t>
        </is>
      </c>
      <c r="B27" t="inlineStr">
        <is>
          <t>Biz Reg</t>
        </is>
      </c>
      <c r="C27" t="inlineStr">
        <is>
          <t>Annual Resident Agent &amp; Secretary Retainer</t>
        </is>
      </c>
      <c r="D27" t="n">
        <v>2600</v>
      </c>
      <c r="E27" t="inlineStr">
        <is>
          <t>Local corporate services provider standard annual pricing</t>
        </is>
      </c>
    </row>
    <row r="28">
      <c r="A28" t="inlineStr">
        <is>
          <t>Da Nang</t>
        </is>
      </c>
      <c r="B28" t="inlineStr">
        <is>
          <t>Fitout</t>
        </is>
      </c>
      <c r="C28" t="inlineStr">
        <is>
          <t>Interior Renovation &amp; Drywall Partitioning</t>
        </is>
      </c>
      <c r="D28" t="n">
        <v>4800</v>
      </c>
      <c r="E28" t="inlineStr">
        <is>
          <t>Local contractor labor and material cost estimates</t>
        </is>
      </c>
    </row>
    <row r="29">
      <c r="A29" t="inlineStr">
        <is>
          <t>Da Nang</t>
        </is>
      </c>
      <c r="B29" t="inlineStr">
        <is>
          <t>Fitout</t>
        </is>
      </c>
      <c r="C29" t="inlineStr">
        <is>
          <t>Custom Joinery (Vanity units, retail shelving)</t>
        </is>
      </c>
      <c r="D29" t="n">
        <v>3600</v>
      </c>
      <c r="E29" t="inlineStr">
        <is>
          <t>Custom carpenter fabrication quotes for salon styling stations</t>
        </is>
      </c>
    </row>
    <row r="30">
      <c r="A30" t="inlineStr">
        <is>
          <t>Da Nang</t>
        </is>
      </c>
      <c r="B30" t="inlineStr">
        <is>
          <t>Fitout</t>
        </is>
      </c>
      <c r="C30" t="inlineStr">
        <is>
          <t>Lighting &amp; Electrical Installations (High-CRI)</t>
        </is>
      </c>
      <c r="D30" t="n">
        <v>1800</v>
      </c>
      <c r="E30" t="inlineStr">
        <is>
          <t>Track lighting, wiring, and power outlet distribution quotes</t>
        </is>
      </c>
    </row>
    <row r="31">
      <c r="A31" t="inlineStr">
        <is>
          <t>Da Nang</t>
        </is>
      </c>
      <c r="B31" t="inlineStr">
        <is>
          <t>Fitout</t>
        </is>
      </c>
      <c r="C31" t="inlineStr">
        <is>
          <t>Flooring &amp; Ceiling Works</t>
        </is>
      </c>
      <c r="D31" t="n">
        <v>1800</v>
      </c>
      <c r="E31" t="inlineStr">
        <is>
          <t>Acoustic ceiling tiling and water-resistant wood/tile flooring quotes</t>
        </is>
      </c>
    </row>
    <row r="32">
      <c r="A32" t="inlineStr">
        <is>
          <t>Da Nang</t>
        </is>
      </c>
      <c r="B32" t="inlineStr">
        <is>
          <t>Equipment</t>
        </is>
      </c>
      <c r="C32" t="inlineStr">
        <is>
          <t>Takara Belmont Styling Chairs (4 units)</t>
        </is>
      </c>
      <c r="D32" t="n">
        <v>6400</v>
      </c>
      <c r="E32" t="inlineStr">
        <is>
          <t>Takara Belmont B2B Pricing Catalog (Premium Series)</t>
        </is>
      </c>
    </row>
    <row r="33">
      <c r="A33" t="inlineStr">
        <is>
          <t>Da Nang</t>
        </is>
      </c>
      <c r="B33" t="inlineStr">
        <is>
          <t>Equipment</t>
        </is>
      </c>
      <c r="C33" t="inlineStr">
        <is>
          <t>Takara Belmont Backwash Wash Basins (2 units)</t>
        </is>
      </c>
      <c r="D33" t="n">
        <v>5600</v>
      </c>
      <c r="E33" t="inlineStr">
        <is>
          <t>Takara Belmont Wash Systems Catalog 2025</t>
        </is>
      </c>
    </row>
    <row r="34">
      <c r="A34" t="inlineStr">
        <is>
          <t>Da Nang</t>
        </is>
      </c>
      <c r="B34" t="inlineStr">
        <is>
          <t>Equipment</t>
        </is>
      </c>
      <c r="C34" t="inlineStr">
        <is>
          <t>Water Softening &amp; Multi-Stage Filtration System</t>
        </is>
      </c>
      <c r="D34" t="n">
        <v>4000</v>
      </c>
      <c r="E34" t="inlineStr">
        <is>
          <t>Commercial RO system specifications and installation quote</t>
        </is>
      </c>
    </row>
    <row r="35">
      <c r="A35" t="inlineStr">
        <is>
          <t>Da Nang</t>
        </is>
      </c>
      <c r="B35" t="inlineStr">
        <is>
          <t>Other CAPEX</t>
        </is>
      </c>
      <c r="C35" t="inlineStr">
        <is>
          <t>Initial Color &amp; Chemical Inventory (Stock)</t>
        </is>
      </c>
      <c r="D35" t="n">
        <v>2300</v>
      </c>
      <c r="E35" t="inlineStr">
        <is>
          <t>Wella Professionals &amp; Milbon Distributor Starter Stock list</t>
        </is>
      </c>
    </row>
    <row r="36">
      <c r="A36" t="inlineStr">
        <is>
          <t>Da Nang</t>
        </is>
      </c>
      <c r="B36" t="inlineStr">
        <is>
          <t>Other CAPEX</t>
        </is>
      </c>
      <c r="C36" t="inlineStr">
        <is>
          <t>Professional Styling Tools (Dyson dryers, shears)</t>
        </is>
      </c>
      <c r="D36" t="n">
        <v>1150</v>
      </c>
      <c r="E36" t="inlineStr">
        <is>
          <t>Dyson Professional Partner Pricing &amp; shears kit catalog</t>
        </is>
      </c>
    </row>
    <row r="37">
      <c r="A37" t="inlineStr">
        <is>
          <t>Da Nang</t>
        </is>
      </c>
      <c r="B37" t="inlineStr">
        <is>
          <t>Other CAPEX</t>
        </is>
      </c>
      <c r="C37" t="inlineStr">
        <is>
          <t>Retail Product Initial Stock (Oribe, Kérastase)</t>
        </is>
      </c>
      <c r="D37" t="n">
        <v>1150</v>
      </c>
      <c r="E37" t="inlineStr">
        <is>
          <t>Oribe &amp; Kérastase B2B opening inventory order guidelines</t>
        </is>
      </c>
    </row>
    <row r="38">
      <c r="A38" t="inlineStr">
        <is>
          <t>Da Nang</t>
        </is>
      </c>
      <c r="B38" t="inlineStr">
        <is>
          <t>Deposit</t>
        </is>
      </c>
      <c r="C38" t="inlineStr">
        <is>
          <t>Commercial Landlord Security Deposit (3 months)</t>
        </is>
      </c>
      <c r="D38" t="n">
        <v>2400</v>
      </c>
      <c r="E38" t="inlineStr">
        <is>
          <t>Standard commercial landlord lease terms for prime retail</t>
        </is>
      </c>
    </row>
    <row r="39">
      <c r="A39" t="inlineStr">
        <is>
          <t>Da Nang</t>
        </is>
      </c>
      <c r="B39" t="inlineStr">
        <is>
          <t>Biz Reg</t>
        </is>
      </c>
      <c r="C39" t="inlineStr">
        <is>
          <t>Company Incorporation &amp; Legal Registrations</t>
        </is>
      </c>
      <c r="D39" t="n">
        <v>3900</v>
      </c>
      <c r="E39" t="inlineStr">
        <is>
          <t>Local Companies Registry &amp; foreign entity setup filing fees</t>
        </is>
      </c>
    </row>
    <row r="40">
      <c r="A40" t="inlineStr">
        <is>
          <t>Da Nang</t>
        </is>
      </c>
      <c r="B40" t="inlineStr">
        <is>
          <t>Biz Reg</t>
        </is>
      </c>
      <c r="C40" t="inlineStr">
        <is>
          <t>Annual Resident Agent &amp; Secretary Retainer</t>
        </is>
      </c>
      <c r="D40" t="n">
        <v>2600</v>
      </c>
      <c r="E40" t="inlineStr">
        <is>
          <t>Local corporate services provider standard annual pricing</t>
        </is>
      </c>
    </row>
    <row r="41">
      <c r="A41" t="inlineStr">
        <is>
          <t>Hai Phong</t>
        </is>
      </c>
      <c r="B41" t="inlineStr">
        <is>
          <t>Fitout</t>
        </is>
      </c>
      <c r="C41" t="inlineStr">
        <is>
          <t>Interior Renovation &amp; Drywall Partitioning</t>
        </is>
      </c>
      <c r="D41" t="n">
        <v>4000</v>
      </c>
      <c r="E41" t="inlineStr">
        <is>
          <t>Local contractor labor and material cost estimates</t>
        </is>
      </c>
    </row>
    <row r="42">
      <c r="A42" t="inlineStr">
        <is>
          <t>Hai Phong</t>
        </is>
      </c>
      <c r="B42" t="inlineStr">
        <is>
          <t>Fitout</t>
        </is>
      </c>
      <c r="C42" t="inlineStr">
        <is>
          <t>Custom Joinery (Vanity units, retail shelving)</t>
        </is>
      </c>
      <c r="D42" t="n">
        <v>3000</v>
      </c>
      <c r="E42" t="inlineStr">
        <is>
          <t>Custom carpenter fabrication quotes for salon styling stations</t>
        </is>
      </c>
    </row>
    <row r="43">
      <c r="A43" t="inlineStr">
        <is>
          <t>Hai Phong</t>
        </is>
      </c>
      <c r="B43" t="inlineStr">
        <is>
          <t>Fitout</t>
        </is>
      </c>
      <c r="C43" t="inlineStr">
        <is>
          <t>Lighting &amp; Electrical Installations (High-CRI)</t>
        </is>
      </c>
      <c r="D43" t="n">
        <v>1500</v>
      </c>
      <c r="E43" t="inlineStr">
        <is>
          <t>Track lighting, wiring, and power outlet distribution quotes</t>
        </is>
      </c>
    </row>
    <row r="44">
      <c r="A44" t="inlineStr">
        <is>
          <t>Hai Phong</t>
        </is>
      </c>
      <c r="B44" t="inlineStr">
        <is>
          <t>Fitout</t>
        </is>
      </c>
      <c r="C44" t="inlineStr">
        <is>
          <t>Flooring &amp; Ceiling Works</t>
        </is>
      </c>
      <c r="D44" t="n">
        <v>1500</v>
      </c>
      <c r="E44" t="inlineStr">
        <is>
          <t>Acoustic ceiling tiling and water-resistant wood/tile flooring quotes</t>
        </is>
      </c>
    </row>
    <row r="45">
      <c r="A45" t="inlineStr">
        <is>
          <t>Hai Phong</t>
        </is>
      </c>
      <c r="B45" t="inlineStr">
        <is>
          <t>Equipment</t>
        </is>
      </c>
      <c r="C45" t="inlineStr">
        <is>
          <t>Takara Belmont Styling Chairs (4 units)</t>
        </is>
      </c>
      <c r="D45" t="n">
        <v>6000</v>
      </c>
      <c r="E45" t="inlineStr">
        <is>
          <t>Takara Belmont B2B Pricing Catalog (Premium Series)</t>
        </is>
      </c>
    </row>
    <row r="46">
      <c r="A46" t="inlineStr">
        <is>
          <t>Hai Phong</t>
        </is>
      </c>
      <c r="B46" t="inlineStr">
        <is>
          <t>Equipment</t>
        </is>
      </c>
      <c r="C46" t="inlineStr">
        <is>
          <t>Takara Belmont Backwash Wash Basins (2 units)</t>
        </is>
      </c>
      <c r="D46" t="n">
        <v>5250</v>
      </c>
      <c r="E46" t="inlineStr">
        <is>
          <t>Takara Belmont Wash Systems Catalog 2025</t>
        </is>
      </c>
    </row>
    <row r="47">
      <c r="A47" t="inlineStr">
        <is>
          <t>Hai Phong</t>
        </is>
      </c>
      <c r="B47" t="inlineStr">
        <is>
          <t>Equipment</t>
        </is>
      </c>
      <c r="C47" t="inlineStr">
        <is>
          <t>Water Softening &amp; Multi-Stage Filtration System</t>
        </is>
      </c>
      <c r="D47" t="n">
        <v>3750</v>
      </c>
      <c r="E47" t="inlineStr">
        <is>
          <t>Commercial RO system specifications and installation quote</t>
        </is>
      </c>
    </row>
    <row r="48">
      <c r="A48" t="inlineStr">
        <is>
          <t>Hai Phong</t>
        </is>
      </c>
      <c r="B48" t="inlineStr">
        <is>
          <t>Other CAPEX</t>
        </is>
      </c>
      <c r="C48" t="inlineStr">
        <is>
          <t>Initial Color &amp; Chemical Inventory (Stock)</t>
        </is>
      </c>
      <c r="D48" t="n">
        <v>1650</v>
      </c>
      <c r="E48" t="inlineStr">
        <is>
          <t>Wella Professionals &amp; Milbon Distributor Starter Stock list</t>
        </is>
      </c>
    </row>
    <row r="49">
      <c r="A49" t="inlineStr">
        <is>
          <t>Hai Phong</t>
        </is>
      </c>
      <c r="B49" t="inlineStr">
        <is>
          <t>Other CAPEX</t>
        </is>
      </c>
      <c r="C49" t="inlineStr">
        <is>
          <t>Professional Styling Tools (Dyson dryers, shears)</t>
        </is>
      </c>
      <c r="D49" t="n">
        <v>825</v>
      </c>
      <c r="E49" t="inlineStr">
        <is>
          <t>Dyson Professional Partner Pricing &amp; shears kit catalog</t>
        </is>
      </c>
    </row>
    <row r="50">
      <c r="A50" t="inlineStr">
        <is>
          <t>Hai Phong</t>
        </is>
      </c>
      <c r="B50" t="inlineStr">
        <is>
          <t>Other CAPEX</t>
        </is>
      </c>
      <c r="C50" t="inlineStr">
        <is>
          <t>Retail Product Initial Stock (Oribe, Kérastase)</t>
        </is>
      </c>
      <c r="D50" t="n">
        <v>825</v>
      </c>
      <c r="E50" t="inlineStr">
        <is>
          <t>Oribe &amp; Kérastase B2B opening inventory order guidelines</t>
        </is>
      </c>
    </row>
    <row r="51">
      <c r="A51" t="inlineStr">
        <is>
          <t>Hai Phong</t>
        </is>
      </c>
      <c r="B51" t="inlineStr">
        <is>
          <t>Deposit</t>
        </is>
      </c>
      <c r="C51" t="inlineStr">
        <is>
          <t>Commercial Landlord Security Deposit (3 months)</t>
        </is>
      </c>
      <c r="D51" t="n">
        <v>1950</v>
      </c>
      <c r="E51" t="inlineStr">
        <is>
          <t>Standard commercial landlord lease terms for prime retail</t>
        </is>
      </c>
    </row>
    <row r="52">
      <c r="A52" t="inlineStr">
        <is>
          <t>Hai Phong</t>
        </is>
      </c>
      <c r="B52" t="inlineStr">
        <is>
          <t>Biz Reg</t>
        </is>
      </c>
      <c r="C52" t="inlineStr">
        <is>
          <t>Company Incorporation &amp; Legal Registrations</t>
        </is>
      </c>
      <c r="D52" t="n">
        <v>3900</v>
      </c>
      <c r="E52" t="inlineStr">
        <is>
          <t>Local Companies Registry &amp; foreign entity setup filing fees</t>
        </is>
      </c>
    </row>
    <row r="53">
      <c r="A53" t="inlineStr">
        <is>
          <t>Hai Phong</t>
        </is>
      </c>
      <c r="B53" t="inlineStr">
        <is>
          <t>Biz Reg</t>
        </is>
      </c>
      <c r="C53" t="inlineStr">
        <is>
          <t>Annual Resident Agent &amp; Secretary Retainer</t>
        </is>
      </c>
      <c r="D53" t="n">
        <v>2600</v>
      </c>
      <c r="E53" t="inlineStr">
        <is>
          <t>Local corporate services provider standard annual pricing</t>
        </is>
      </c>
    </row>
    <row r="54">
      <c r="A54" t="inlineStr">
        <is>
          <t>Binh Duong</t>
        </is>
      </c>
      <c r="B54" t="inlineStr">
        <is>
          <t>Fitout</t>
        </is>
      </c>
      <c r="C54" t="inlineStr">
        <is>
          <t>Interior Renovation &amp; Drywall Partitioning</t>
        </is>
      </c>
      <c r="D54" t="n">
        <v>4000</v>
      </c>
      <c r="E54" t="inlineStr">
        <is>
          <t>Local contractor labor and material cost estimates</t>
        </is>
      </c>
    </row>
    <row r="55">
      <c r="A55" t="inlineStr">
        <is>
          <t>Binh Duong</t>
        </is>
      </c>
      <c r="B55" t="inlineStr">
        <is>
          <t>Fitout</t>
        </is>
      </c>
      <c r="C55" t="inlineStr">
        <is>
          <t>Custom Joinery (Vanity units, retail shelving)</t>
        </is>
      </c>
      <c r="D55" t="n">
        <v>3000</v>
      </c>
      <c r="E55" t="inlineStr">
        <is>
          <t>Custom carpenter fabrication quotes for salon styling stations</t>
        </is>
      </c>
    </row>
    <row r="56">
      <c r="A56" t="inlineStr">
        <is>
          <t>Binh Duong</t>
        </is>
      </c>
      <c r="B56" t="inlineStr">
        <is>
          <t>Fitout</t>
        </is>
      </c>
      <c r="C56" t="inlineStr">
        <is>
          <t>Lighting &amp; Electrical Installations (High-CRI)</t>
        </is>
      </c>
      <c r="D56" t="n">
        <v>1500</v>
      </c>
      <c r="E56" t="inlineStr">
        <is>
          <t>Track lighting, wiring, and power outlet distribution quotes</t>
        </is>
      </c>
    </row>
    <row r="57">
      <c r="A57" t="inlineStr">
        <is>
          <t>Binh Duong</t>
        </is>
      </c>
      <c r="B57" t="inlineStr">
        <is>
          <t>Fitout</t>
        </is>
      </c>
      <c r="C57" t="inlineStr">
        <is>
          <t>Flooring &amp; Ceiling Works</t>
        </is>
      </c>
      <c r="D57" t="n">
        <v>1500</v>
      </c>
      <c r="E57" t="inlineStr">
        <is>
          <t>Acoustic ceiling tiling and water-resistant wood/tile flooring quotes</t>
        </is>
      </c>
    </row>
    <row r="58">
      <c r="A58" t="inlineStr">
        <is>
          <t>Binh Duong</t>
        </is>
      </c>
      <c r="B58" t="inlineStr">
        <is>
          <t>Equipment</t>
        </is>
      </c>
      <c r="C58" t="inlineStr">
        <is>
          <t>Takara Belmont Styling Chairs (4 units)</t>
        </is>
      </c>
      <c r="D58" t="n">
        <v>5600</v>
      </c>
      <c r="E58" t="inlineStr">
        <is>
          <t>Takara Belmont B2B Pricing Catalog (Premium Series)</t>
        </is>
      </c>
    </row>
    <row r="59">
      <c r="A59" t="inlineStr">
        <is>
          <t>Binh Duong</t>
        </is>
      </c>
      <c r="B59" t="inlineStr">
        <is>
          <t>Equipment</t>
        </is>
      </c>
      <c r="C59" t="inlineStr">
        <is>
          <t>Takara Belmont Backwash Wash Basins (2 units)</t>
        </is>
      </c>
      <c r="D59" t="n">
        <v>4900</v>
      </c>
      <c r="E59" t="inlineStr">
        <is>
          <t>Takara Belmont Wash Systems Catalog 2025</t>
        </is>
      </c>
    </row>
    <row r="60">
      <c r="A60" t="inlineStr">
        <is>
          <t>Binh Duong</t>
        </is>
      </c>
      <c r="B60" t="inlineStr">
        <is>
          <t>Equipment</t>
        </is>
      </c>
      <c r="C60" t="inlineStr">
        <is>
          <t>Water Softening &amp; Multi-Stage Filtration System</t>
        </is>
      </c>
      <c r="D60" t="n">
        <v>3500</v>
      </c>
      <c r="E60" t="inlineStr">
        <is>
          <t>Commercial RO system specifications and installation quote</t>
        </is>
      </c>
    </row>
    <row r="61">
      <c r="A61" t="inlineStr">
        <is>
          <t>Binh Duong</t>
        </is>
      </c>
      <c r="B61" t="inlineStr">
        <is>
          <t>Other CAPEX</t>
        </is>
      </c>
      <c r="C61" t="inlineStr">
        <is>
          <t>Initial Color &amp; Chemical Inventory (Stock)</t>
        </is>
      </c>
      <c r="D61" t="n">
        <v>1600</v>
      </c>
      <c r="E61" t="inlineStr">
        <is>
          <t>Wella Professionals &amp; Milbon Distributor Starter Stock list</t>
        </is>
      </c>
    </row>
    <row r="62">
      <c r="A62" t="inlineStr">
        <is>
          <t>Binh Duong</t>
        </is>
      </c>
      <c r="B62" t="inlineStr">
        <is>
          <t>Other CAPEX</t>
        </is>
      </c>
      <c r="C62" t="inlineStr">
        <is>
          <t>Professional Styling Tools (Dyson dryers, shears)</t>
        </is>
      </c>
      <c r="D62" t="n">
        <v>800</v>
      </c>
      <c r="E62" t="inlineStr">
        <is>
          <t>Dyson Professional Partner Pricing &amp; shears kit catalog</t>
        </is>
      </c>
    </row>
    <row r="63">
      <c r="A63" t="inlineStr">
        <is>
          <t>Binh Duong</t>
        </is>
      </c>
      <c r="B63" t="inlineStr">
        <is>
          <t>Other CAPEX</t>
        </is>
      </c>
      <c r="C63" t="inlineStr">
        <is>
          <t>Retail Product Initial Stock (Oribe, Kérastase)</t>
        </is>
      </c>
      <c r="D63" t="n">
        <v>800</v>
      </c>
      <c r="E63" t="inlineStr">
        <is>
          <t>Oribe &amp; Kérastase B2B opening inventory order guidelines</t>
        </is>
      </c>
    </row>
    <row r="64">
      <c r="A64" t="inlineStr">
        <is>
          <t>Binh Duong</t>
        </is>
      </c>
      <c r="B64" t="inlineStr">
        <is>
          <t>Deposit</t>
        </is>
      </c>
      <c r="C64" t="inlineStr">
        <is>
          <t>Commercial Landlord Security Deposit (3 months)</t>
        </is>
      </c>
      <c r="D64" t="n">
        <v>1800</v>
      </c>
      <c r="E64" t="inlineStr">
        <is>
          <t>Standard commercial landlord lease terms for prime retail</t>
        </is>
      </c>
    </row>
    <row r="65">
      <c r="A65" t="inlineStr">
        <is>
          <t>Binh Duong</t>
        </is>
      </c>
      <c r="B65" t="inlineStr">
        <is>
          <t>Biz Reg</t>
        </is>
      </c>
      <c r="C65" t="inlineStr">
        <is>
          <t>Company Incorporation &amp; Legal Registrations</t>
        </is>
      </c>
      <c r="D65" t="n">
        <v>3900</v>
      </c>
      <c r="E65" t="inlineStr">
        <is>
          <t>Local Companies Registry &amp; foreign entity setup filing fees</t>
        </is>
      </c>
    </row>
    <row r="66">
      <c r="A66" t="inlineStr">
        <is>
          <t>Binh Duong</t>
        </is>
      </c>
      <c r="B66" t="inlineStr">
        <is>
          <t>Biz Reg</t>
        </is>
      </c>
      <c r="C66" t="inlineStr">
        <is>
          <t>Annual Resident Agent &amp; Secretary Retainer</t>
        </is>
      </c>
      <c r="D66" t="n">
        <v>2600</v>
      </c>
      <c r="E66" t="inlineStr">
        <is>
          <t>Local corporate services provider standard annual pricing</t>
        </is>
      </c>
    </row>
    <row r="67">
      <c r="A67" t="inlineStr">
        <is>
          <t>Dong Nai</t>
        </is>
      </c>
      <c r="B67" t="inlineStr">
        <is>
          <t>Fitout</t>
        </is>
      </c>
      <c r="C67" t="inlineStr">
        <is>
          <t>Interior Renovation &amp; Drywall Partitioning</t>
        </is>
      </c>
      <c r="D67" t="n">
        <v>3600</v>
      </c>
      <c r="E67" t="inlineStr">
        <is>
          <t>Local contractor labor and material cost estimates</t>
        </is>
      </c>
    </row>
    <row r="68">
      <c r="A68" t="inlineStr">
        <is>
          <t>Dong Nai</t>
        </is>
      </c>
      <c r="B68" t="inlineStr">
        <is>
          <t>Fitout</t>
        </is>
      </c>
      <c r="C68" t="inlineStr">
        <is>
          <t>Custom Joinery (Vanity units, retail shelving)</t>
        </is>
      </c>
      <c r="D68" t="n">
        <v>2700</v>
      </c>
      <c r="E68" t="inlineStr">
        <is>
          <t>Custom carpenter fabrication quotes for salon styling stations</t>
        </is>
      </c>
    </row>
    <row r="69">
      <c r="A69" t="inlineStr">
        <is>
          <t>Dong Nai</t>
        </is>
      </c>
      <c r="B69" t="inlineStr">
        <is>
          <t>Fitout</t>
        </is>
      </c>
      <c r="C69" t="inlineStr">
        <is>
          <t>Lighting &amp; Electrical Installations (High-CRI)</t>
        </is>
      </c>
      <c r="D69" t="n">
        <v>1350</v>
      </c>
      <c r="E69" t="inlineStr">
        <is>
          <t>Track lighting, wiring, and power outlet distribution quotes</t>
        </is>
      </c>
    </row>
    <row r="70">
      <c r="A70" t="inlineStr">
        <is>
          <t>Dong Nai</t>
        </is>
      </c>
      <c r="B70" t="inlineStr">
        <is>
          <t>Fitout</t>
        </is>
      </c>
      <c r="C70" t="inlineStr">
        <is>
          <t>Flooring &amp; Ceiling Works</t>
        </is>
      </c>
      <c r="D70" t="n">
        <v>1350</v>
      </c>
      <c r="E70" t="inlineStr">
        <is>
          <t>Acoustic ceiling tiling and water-resistant wood/tile flooring quotes</t>
        </is>
      </c>
    </row>
    <row r="71">
      <c r="A71" t="inlineStr">
        <is>
          <t>Dong Nai</t>
        </is>
      </c>
      <c r="B71" t="inlineStr">
        <is>
          <t>Equipment</t>
        </is>
      </c>
      <c r="C71" t="inlineStr">
        <is>
          <t>Takara Belmont Styling Chairs (4 units)</t>
        </is>
      </c>
      <c r="D71" t="n">
        <v>5200</v>
      </c>
      <c r="E71" t="inlineStr">
        <is>
          <t>Takara Belmont B2B Pricing Catalog (Premium Series)</t>
        </is>
      </c>
    </row>
    <row r="72">
      <c r="A72" t="inlineStr">
        <is>
          <t>Dong Nai</t>
        </is>
      </c>
      <c r="B72" t="inlineStr">
        <is>
          <t>Equipment</t>
        </is>
      </c>
      <c r="C72" t="inlineStr">
        <is>
          <t>Takara Belmont Backwash Wash Basins (2 units)</t>
        </is>
      </c>
      <c r="D72" t="n">
        <v>4550</v>
      </c>
      <c r="E72" t="inlineStr">
        <is>
          <t>Takara Belmont Wash Systems Catalog 2025</t>
        </is>
      </c>
    </row>
    <row r="73">
      <c r="A73" t="inlineStr">
        <is>
          <t>Dong Nai</t>
        </is>
      </c>
      <c r="B73" t="inlineStr">
        <is>
          <t>Equipment</t>
        </is>
      </c>
      <c r="C73" t="inlineStr">
        <is>
          <t>Water Softening &amp; Multi-Stage Filtration System</t>
        </is>
      </c>
      <c r="D73" t="n">
        <v>3250</v>
      </c>
      <c r="E73" t="inlineStr">
        <is>
          <t>Commercial RO system specifications and installation quote</t>
        </is>
      </c>
    </row>
    <row r="74">
      <c r="A74" t="inlineStr">
        <is>
          <t>Dong Nai</t>
        </is>
      </c>
      <c r="B74" t="inlineStr">
        <is>
          <t>Other CAPEX</t>
        </is>
      </c>
      <c r="C74" t="inlineStr">
        <is>
          <t>Initial Color &amp; Chemical Inventory (Stock)</t>
        </is>
      </c>
      <c r="D74" t="n">
        <v>1550</v>
      </c>
      <c r="E74" t="inlineStr">
        <is>
          <t>Wella Professionals &amp; Milbon Distributor Starter Stock list</t>
        </is>
      </c>
    </row>
    <row r="75">
      <c r="A75" t="inlineStr">
        <is>
          <t>Dong Nai</t>
        </is>
      </c>
      <c r="B75" t="inlineStr">
        <is>
          <t>Other CAPEX</t>
        </is>
      </c>
      <c r="C75" t="inlineStr">
        <is>
          <t>Professional Styling Tools (Dyson dryers, shears)</t>
        </is>
      </c>
      <c r="D75" t="n">
        <v>775</v>
      </c>
      <c r="E75" t="inlineStr">
        <is>
          <t>Dyson Professional Partner Pricing &amp; shears kit catalog</t>
        </is>
      </c>
    </row>
    <row r="76">
      <c r="A76" t="inlineStr">
        <is>
          <t>Dong Nai</t>
        </is>
      </c>
      <c r="B76" t="inlineStr">
        <is>
          <t>Other CAPEX</t>
        </is>
      </c>
      <c r="C76" t="inlineStr">
        <is>
          <t>Retail Product Initial Stock (Oribe, Kérastase)</t>
        </is>
      </c>
      <c r="D76" t="n">
        <v>775</v>
      </c>
      <c r="E76" t="inlineStr">
        <is>
          <t>Oribe &amp; Kérastase B2B opening inventory order guidelines</t>
        </is>
      </c>
    </row>
    <row r="77">
      <c r="A77" t="inlineStr">
        <is>
          <t>Dong Nai</t>
        </is>
      </c>
      <c r="B77" t="inlineStr">
        <is>
          <t>Deposit</t>
        </is>
      </c>
      <c r="C77" t="inlineStr">
        <is>
          <t>Commercial Landlord Security Deposit (3 months)</t>
        </is>
      </c>
      <c r="D77" t="n">
        <v>1650</v>
      </c>
      <c r="E77" t="inlineStr">
        <is>
          <t>Standard commercial landlord lease terms for prime retail</t>
        </is>
      </c>
    </row>
    <row r="78">
      <c r="A78" t="inlineStr">
        <is>
          <t>Dong Nai</t>
        </is>
      </c>
      <c r="B78" t="inlineStr">
        <is>
          <t>Biz Reg</t>
        </is>
      </c>
      <c r="C78" t="inlineStr">
        <is>
          <t>Company Incorporation &amp; Legal Registrations</t>
        </is>
      </c>
      <c r="D78" t="n">
        <v>3900</v>
      </c>
      <c r="E78" t="inlineStr">
        <is>
          <t>Local Companies Registry &amp; foreign entity setup filing fees</t>
        </is>
      </c>
    </row>
    <row r="79">
      <c r="A79" t="inlineStr">
        <is>
          <t>Dong Nai</t>
        </is>
      </c>
      <c r="B79" t="inlineStr">
        <is>
          <t>Biz Reg</t>
        </is>
      </c>
      <c r="C79" t="inlineStr">
        <is>
          <t>Annual Resident Agent &amp; Secretary Retainer</t>
        </is>
      </c>
      <c r="D79" t="n">
        <v>2600</v>
      </c>
      <c r="E79" t="inlineStr">
        <is>
          <t>Local corporate services provider standard annual pricing</t>
        </is>
      </c>
    </row>
    <row r="80">
      <c r="A80" t="inlineStr">
        <is>
          <t>Kuala Lumpur</t>
        </is>
      </c>
      <c r="B80" t="inlineStr">
        <is>
          <t>Fitout</t>
        </is>
      </c>
      <c r="C80" t="inlineStr">
        <is>
          <t>Interior Renovation &amp; Drywall Partitioning</t>
        </is>
      </c>
      <c r="D80" t="n">
        <v>13200</v>
      </c>
      <c r="E80" t="inlineStr">
        <is>
          <t>Local contractor labor and material cost estimates</t>
        </is>
      </c>
    </row>
    <row r="81">
      <c r="A81" t="inlineStr">
        <is>
          <t>Kuala Lumpur</t>
        </is>
      </c>
      <c r="B81" t="inlineStr">
        <is>
          <t>Fitout</t>
        </is>
      </c>
      <c r="C81" t="inlineStr">
        <is>
          <t>Custom Joinery (Vanity units, retail shelving)</t>
        </is>
      </c>
      <c r="D81" t="n">
        <v>9900</v>
      </c>
      <c r="E81" t="inlineStr">
        <is>
          <t>Custom carpenter fabrication quotes for salon styling stations</t>
        </is>
      </c>
    </row>
    <row r="82">
      <c r="A82" t="inlineStr">
        <is>
          <t>Kuala Lumpur</t>
        </is>
      </c>
      <c r="B82" t="inlineStr">
        <is>
          <t>Fitout</t>
        </is>
      </c>
      <c r="C82" t="inlineStr">
        <is>
          <t>Lighting &amp; Electrical Installations (High-CRI)</t>
        </is>
      </c>
      <c r="D82" t="n">
        <v>4950</v>
      </c>
      <c r="E82" t="inlineStr">
        <is>
          <t>Track lighting, wiring, and power outlet distribution quotes</t>
        </is>
      </c>
    </row>
    <row r="83">
      <c r="A83" t="inlineStr">
        <is>
          <t>Kuala Lumpur</t>
        </is>
      </c>
      <c r="B83" t="inlineStr">
        <is>
          <t>Fitout</t>
        </is>
      </c>
      <c r="C83" t="inlineStr">
        <is>
          <t>Flooring &amp; Ceiling Works</t>
        </is>
      </c>
      <c r="D83" t="n">
        <v>4950</v>
      </c>
      <c r="E83" t="inlineStr">
        <is>
          <t>Acoustic ceiling tiling and water-resistant wood/tile flooring quotes</t>
        </is>
      </c>
    </row>
    <row r="84">
      <c r="A84" t="inlineStr">
        <is>
          <t>Kuala Lumpur</t>
        </is>
      </c>
      <c r="B84" t="inlineStr">
        <is>
          <t>Equipment</t>
        </is>
      </c>
      <c r="C84" t="inlineStr">
        <is>
          <t>Takara Belmont Styling Chairs (4 units)</t>
        </is>
      </c>
      <c r="D84" t="n">
        <v>8000</v>
      </c>
      <c r="E84" t="inlineStr">
        <is>
          <t>Takara Belmont B2B Pricing Catalog (Premium Series)</t>
        </is>
      </c>
    </row>
    <row r="85">
      <c r="A85" t="inlineStr">
        <is>
          <t>Kuala Lumpur</t>
        </is>
      </c>
      <c r="B85" t="inlineStr">
        <is>
          <t>Equipment</t>
        </is>
      </c>
      <c r="C85" t="inlineStr">
        <is>
          <t>Takara Belmont Backwash Wash Basins (2 units)</t>
        </is>
      </c>
      <c r="D85" t="n">
        <v>7000</v>
      </c>
      <c r="E85" t="inlineStr">
        <is>
          <t>Takara Belmont Wash Systems Catalog 2025</t>
        </is>
      </c>
    </row>
    <row r="86">
      <c r="A86" t="inlineStr">
        <is>
          <t>Kuala Lumpur</t>
        </is>
      </c>
      <c r="B86" t="inlineStr">
        <is>
          <t>Equipment</t>
        </is>
      </c>
      <c r="C86" t="inlineStr">
        <is>
          <t>Water Softening &amp; Multi-Stage Filtration System</t>
        </is>
      </c>
      <c r="D86" t="n">
        <v>5000</v>
      </c>
      <c r="E86" t="inlineStr">
        <is>
          <t>Commercial RO system specifications and installation quote</t>
        </is>
      </c>
    </row>
    <row r="87">
      <c r="A87" t="inlineStr">
        <is>
          <t>Kuala Lumpur</t>
        </is>
      </c>
      <c r="B87" t="inlineStr">
        <is>
          <t>Other CAPEX</t>
        </is>
      </c>
      <c r="C87" t="inlineStr">
        <is>
          <t>Initial Color &amp; Chemical Inventory (Stock)</t>
        </is>
      </c>
      <c r="D87" t="n">
        <v>3000</v>
      </c>
      <c r="E87" t="inlineStr">
        <is>
          <t>Wella Professionals &amp; Milbon Distributor Starter Stock list</t>
        </is>
      </c>
    </row>
    <row r="88">
      <c r="A88" t="inlineStr">
        <is>
          <t>Kuala Lumpur</t>
        </is>
      </c>
      <c r="B88" t="inlineStr">
        <is>
          <t>Other CAPEX</t>
        </is>
      </c>
      <c r="C88" t="inlineStr">
        <is>
          <t>Professional Styling Tools (Dyson dryers, shears)</t>
        </is>
      </c>
      <c r="D88" t="n">
        <v>1500</v>
      </c>
      <c r="E88" t="inlineStr">
        <is>
          <t>Dyson Professional Partner Pricing &amp; shears kit catalog</t>
        </is>
      </c>
    </row>
    <row r="89">
      <c r="A89" t="inlineStr">
        <is>
          <t>Kuala Lumpur</t>
        </is>
      </c>
      <c r="B89" t="inlineStr">
        <is>
          <t>Other CAPEX</t>
        </is>
      </c>
      <c r="C89" t="inlineStr">
        <is>
          <t>Retail Product Initial Stock (Oribe, Kérastase)</t>
        </is>
      </c>
      <c r="D89" t="n">
        <v>1500</v>
      </c>
      <c r="E89" t="inlineStr">
        <is>
          <t>Oribe &amp; Kérastase B2B opening inventory order guidelines</t>
        </is>
      </c>
    </row>
    <row r="90">
      <c r="A90" t="inlineStr">
        <is>
          <t>Kuala Lumpur</t>
        </is>
      </c>
      <c r="B90" t="inlineStr">
        <is>
          <t>Deposit</t>
        </is>
      </c>
      <c r="C90" t="inlineStr">
        <is>
          <t>Commercial Landlord Security Deposit (3 months)</t>
        </is>
      </c>
      <c r="D90" t="n">
        <v>10500</v>
      </c>
      <c r="E90" t="inlineStr">
        <is>
          <t>Standard commercial landlord lease terms for prime retail</t>
        </is>
      </c>
    </row>
    <row r="91">
      <c r="A91" t="inlineStr">
        <is>
          <t>Kuala Lumpur</t>
        </is>
      </c>
      <c r="B91" t="inlineStr">
        <is>
          <t>Biz Reg</t>
        </is>
      </c>
      <c r="C91" t="inlineStr">
        <is>
          <t>Company Incorporation &amp; Legal Registrations</t>
        </is>
      </c>
      <c r="D91" t="n">
        <v>4500</v>
      </c>
      <c r="E91" t="inlineStr">
        <is>
          <t>Local Companies Registry &amp; foreign entity setup filing fees</t>
        </is>
      </c>
    </row>
    <row r="92">
      <c r="A92" t="inlineStr">
        <is>
          <t>Kuala Lumpur</t>
        </is>
      </c>
      <c r="B92" t="inlineStr">
        <is>
          <t>Biz Reg</t>
        </is>
      </c>
      <c r="C92" t="inlineStr">
        <is>
          <t>Annual Resident Agent &amp; Secretary Retainer</t>
        </is>
      </c>
      <c r="D92" t="n">
        <v>3000</v>
      </c>
      <c r="E92" t="inlineStr">
        <is>
          <t>Local corporate services provider standard annual pricing</t>
        </is>
      </c>
    </row>
    <row r="93">
      <c r="A93" t="inlineStr">
        <is>
          <t>Johor Bahru (RTS)</t>
        </is>
      </c>
      <c r="B93" t="inlineStr">
        <is>
          <t>Fitout</t>
        </is>
      </c>
      <c r="C93" t="inlineStr">
        <is>
          <t>Interior Renovation &amp; Drywall Partitioning</t>
        </is>
      </c>
      <c r="D93" t="n">
        <v>11440</v>
      </c>
      <c r="E93" t="inlineStr">
        <is>
          <t>Local contractor labor and material cost estimates</t>
        </is>
      </c>
    </row>
    <row r="94">
      <c r="A94" t="inlineStr">
        <is>
          <t>Johor Bahru (RTS)</t>
        </is>
      </c>
      <c r="B94" t="inlineStr">
        <is>
          <t>Fitout</t>
        </is>
      </c>
      <c r="C94" t="inlineStr">
        <is>
          <t>Custom Joinery (Vanity units, retail shelving)</t>
        </is>
      </c>
      <c r="D94" t="n">
        <v>8580</v>
      </c>
      <c r="E94" t="inlineStr">
        <is>
          <t>Custom carpenter fabrication quotes for salon styling stations</t>
        </is>
      </c>
    </row>
    <row r="95">
      <c r="A95" t="inlineStr">
        <is>
          <t>Johor Bahru (RTS)</t>
        </is>
      </c>
      <c r="B95" t="inlineStr">
        <is>
          <t>Fitout</t>
        </is>
      </c>
      <c r="C95" t="inlineStr">
        <is>
          <t>Lighting &amp; Electrical Installations (High-CRI)</t>
        </is>
      </c>
      <c r="D95" t="n">
        <v>4290</v>
      </c>
      <c r="E95" t="inlineStr">
        <is>
          <t>Track lighting, wiring, and power outlet distribution quotes</t>
        </is>
      </c>
    </row>
    <row r="96">
      <c r="A96" t="inlineStr">
        <is>
          <t>Johor Bahru (RTS)</t>
        </is>
      </c>
      <c r="B96" t="inlineStr">
        <is>
          <t>Fitout</t>
        </is>
      </c>
      <c r="C96" t="inlineStr">
        <is>
          <t>Flooring &amp; Ceiling Works</t>
        </is>
      </c>
      <c r="D96" t="n">
        <v>4290</v>
      </c>
      <c r="E96" t="inlineStr">
        <is>
          <t>Acoustic ceiling tiling and water-resistant wood/tile flooring quotes</t>
        </is>
      </c>
    </row>
    <row r="97">
      <c r="A97" t="inlineStr">
        <is>
          <t>Johor Bahru (RTS)</t>
        </is>
      </c>
      <c r="B97" t="inlineStr">
        <is>
          <t>Equipment</t>
        </is>
      </c>
      <c r="C97" t="inlineStr">
        <is>
          <t>Takara Belmont Styling Chairs (5 units)</t>
        </is>
      </c>
      <c r="D97" t="n">
        <v>7200</v>
      </c>
      <c r="E97" t="inlineStr">
        <is>
          <t>Takara Belmont B2B Pricing Catalog (Premium Series)</t>
        </is>
      </c>
    </row>
    <row r="98">
      <c r="A98" t="inlineStr">
        <is>
          <t>Johor Bahru (RTS)</t>
        </is>
      </c>
      <c r="B98" t="inlineStr">
        <is>
          <t>Equipment</t>
        </is>
      </c>
      <c r="C98" t="inlineStr">
        <is>
          <t>Takara Belmont Backwash Wash Basins (3 units)</t>
        </is>
      </c>
      <c r="D98" t="n">
        <v>6300</v>
      </c>
      <c r="E98" t="inlineStr">
        <is>
          <t>Takara Belmont Wash Systems Catalog 2025</t>
        </is>
      </c>
    </row>
    <row r="99">
      <c r="A99" t="inlineStr">
        <is>
          <t>Johor Bahru (RTS)</t>
        </is>
      </c>
      <c r="B99" t="inlineStr">
        <is>
          <t>Equipment</t>
        </is>
      </c>
      <c r="C99" t="inlineStr">
        <is>
          <t>Water Softening &amp; Multi-Stage Filtration System</t>
        </is>
      </c>
      <c r="D99" t="n">
        <v>4500</v>
      </c>
      <c r="E99" t="inlineStr">
        <is>
          <t>Commercial RO system specifications and installation quote</t>
        </is>
      </c>
    </row>
    <row r="100">
      <c r="A100" t="inlineStr">
        <is>
          <t>Johor Bahru (RTS)</t>
        </is>
      </c>
      <c r="B100" t="inlineStr">
        <is>
          <t>Other CAPEX</t>
        </is>
      </c>
      <c r="C100" t="inlineStr">
        <is>
          <t>Initial Color &amp; Chemical Inventory (Stock)</t>
        </is>
      </c>
      <c r="D100" t="n">
        <v>2700</v>
      </c>
      <c r="E100" t="inlineStr">
        <is>
          <t>Wella Professionals &amp; Milbon Distributor Starter Stock list</t>
        </is>
      </c>
    </row>
    <row r="101">
      <c r="A101" t="inlineStr">
        <is>
          <t>Johor Bahru (RTS)</t>
        </is>
      </c>
      <c r="B101" t="inlineStr">
        <is>
          <t>Other CAPEX</t>
        </is>
      </c>
      <c r="C101" t="inlineStr">
        <is>
          <t>Professional Styling Tools (Dyson dryers, shears)</t>
        </is>
      </c>
      <c r="D101" t="n">
        <v>1350</v>
      </c>
      <c r="E101" t="inlineStr">
        <is>
          <t>Dyson Professional Partner Pricing &amp; shears kit catalog</t>
        </is>
      </c>
    </row>
    <row r="102">
      <c r="A102" t="inlineStr">
        <is>
          <t>Johor Bahru (RTS)</t>
        </is>
      </c>
      <c r="B102" t="inlineStr">
        <is>
          <t>Other CAPEX</t>
        </is>
      </c>
      <c r="C102" t="inlineStr">
        <is>
          <t>Retail Product Initial Stock (Oribe, Kérastase)</t>
        </is>
      </c>
      <c r="D102" t="n">
        <v>1350</v>
      </c>
      <c r="E102" t="inlineStr">
        <is>
          <t>Oribe &amp; Kérastase B2B opening inventory order guidelines</t>
        </is>
      </c>
    </row>
    <row r="103">
      <c r="A103" t="inlineStr">
        <is>
          <t>Johor Bahru (RTS)</t>
        </is>
      </c>
      <c r="B103" t="inlineStr">
        <is>
          <t>Deposit</t>
        </is>
      </c>
      <c r="C103" t="inlineStr">
        <is>
          <t>Commercial Landlord Security Deposit (3 months)</t>
        </is>
      </c>
      <c r="D103" t="n">
        <v>5100</v>
      </c>
      <c r="E103" t="inlineStr">
        <is>
          <t>Standard commercial landlord lease terms for prime retail</t>
        </is>
      </c>
    </row>
    <row r="104">
      <c r="A104" t="inlineStr">
        <is>
          <t>Johor Bahru (RTS)</t>
        </is>
      </c>
      <c r="B104" t="inlineStr">
        <is>
          <t>Biz Reg</t>
        </is>
      </c>
      <c r="C104" t="inlineStr">
        <is>
          <t>Company Incorporation &amp; Legal Registrations</t>
        </is>
      </c>
      <c r="D104" t="n">
        <v>4500</v>
      </c>
      <c r="E104" t="inlineStr">
        <is>
          <t>Local Companies Registry &amp; foreign entity setup filing fees</t>
        </is>
      </c>
    </row>
    <row r="105">
      <c r="A105" t="inlineStr">
        <is>
          <t>Johor Bahru (RTS)</t>
        </is>
      </c>
      <c r="B105" t="inlineStr">
        <is>
          <t>Biz Reg</t>
        </is>
      </c>
      <c r="C105" t="inlineStr">
        <is>
          <t>Annual Resident Agent &amp; Secretary Retainer</t>
        </is>
      </c>
      <c r="D105" t="n">
        <v>3000</v>
      </c>
      <c r="E105" t="inlineStr">
        <is>
          <t>Local corporate services provider standard annual pricing</t>
        </is>
      </c>
    </row>
    <row r="106">
      <c r="A106" t="inlineStr">
        <is>
          <t>Penang</t>
        </is>
      </c>
      <c r="B106" t="inlineStr">
        <is>
          <t>Fitout</t>
        </is>
      </c>
      <c r="C106" t="inlineStr">
        <is>
          <t>Interior Renovation &amp; Drywall Partitioning</t>
        </is>
      </c>
      <c r="D106" t="n">
        <v>8800</v>
      </c>
      <c r="E106" t="inlineStr">
        <is>
          <t>Local contractor labor and material cost estimates</t>
        </is>
      </c>
    </row>
    <row r="107">
      <c r="A107" t="inlineStr">
        <is>
          <t>Penang</t>
        </is>
      </c>
      <c r="B107" t="inlineStr">
        <is>
          <t>Fitout</t>
        </is>
      </c>
      <c r="C107" t="inlineStr">
        <is>
          <t>Custom Joinery (Vanity units, retail shelving)</t>
        </is>
      </c>
      <c r="D107" t="n">
        <v>6600</v>
      </c>
      <c r="E107" t="inlineStr">
        <is>
          <t>Custom carpenter fabrication quotes for salon styling stations</t>
        </is>
      </c>
    </row>
    <row r="108">
      <c r="A108" t="inlineStr">
        <is>
          <t>Penang</t>
        </is>
      </c>
      <c r="B108" t="inlineStr">
        <is>
          <t>Fitout</t>
        </is>
      </c>
      <c r="C108" t="inlineStr">
        <is>
          <t>Lighting &amp; Electrical Installations (High-CRI)</t>
        </is>
      </c>
      <c r="D108" t="n">
        <v>3300</v>
      </c>
      <c r="E108" t="inlineStr">
        <is>
          <t>Track lighting, wiring, and power outlet distribution quotes</t>
        </is>
      </c>
    </row>
    <row r="109">
      <c r="A109" t="inlineStr">
        <is>
          <t>Penang</t>
        </is>
      </c>
      <c r="B109" t="inlineStr">
        <is>
          <t>Fitout</t>
        </is>
      </c>
      <c r="C109" t="inlineStr">
        <is>
          <t>Flooring &amp; Ceiling Works</t>
        </is>
      </c>
      <c r="D109" t="n">
        <v>3300</v>
      </c>
      <c r="E109" t="inlineStr">
        <is>
          <t>Acoustic ceiling tiling and water-resistant wood/tile flooring quotes</t>
        </is>
      </c>
    </row>
    <row r="110">
      <c r="A110" t="inlineStr">
        <is>
          <t>Penang</t>
        </is>
      </c>
      <c r="B110" t="inlineStr">
        <is>
          <t>Equipment</t>
        </is>
      </c>
      <c r="C110" t="inlineStr">
        <is>
          <t>Takara Belmont Styling Chairs (4 units)</t>
        </is>
      </c>
      <c r="D110" t="n">
        <v>6000</v>
      </c>
      <c r="E110" t="inlineStr">
        <is>
          <t>Takara Belmont B2B Pricing Catalog (Premium Series)</t>
        </is>
      </c>
    </row>
    <row r="111">
      <c r="A111" t="inlineStr">
        <is>
          <t>Penang</t>
        </is>
      </c>
      <c r="B111" t="inlineStr">
        <is>
          <t>Equipment</t>
        </is>
      </c>
      <c r="C111" t="inlineStr">
        <is>
          <t>Takara Belmont Backwash Wash Basins (2 units)</t>
        </is>
      </c>
      <c r="D111" t="n">
        <v>5250</v>
      </c>
      <c r="E111" t="inlineStr">
        <is>
          <t>Takara Belmont Wash Systems Catalog 2025</t>
        </is>
      </c>
    </row>
    <row r="112">
      <c r="A112" t="inlineStr">
        <is>
          <t>Penang</t>
        </is>
      </c>
      <c r="B112" t="inlineStr">
        <is>
          <t>Equipment</t>
        </is>
      </c>
      <c r="C112" t="inlineStr">
        <is>
          <t>Water Softening &amp; Multi-Stage Filtration System</t>
        </is>
      </c>
      <c r="D112" t="n">
        <v>3750</v>
      </c>
      <c r="E112" t="inlineStr">
        <is>
          <t>Commercial RO system specifications and installation quote</t>
        </is>
      </c>
    </row>
    <row r="113">
      <c r="A113" t="inlineStr">
        <is>
          <t>Penang</t>
        </is>
      </c>
      <c r="B113" t="inlineStr">
        <is>
          <t>Other CAPEX</t>
        </is>
      </c>
      <c r="C113" t="inlineStr">
        <is>
          <t>Initial Color &amp; Chemical Inventory (Stock)</t>
        </is>
      </c>
      <c r="D113" t="n">
        <v>2400</v>
      </c>
      <c r="E113" t="inlineStr">
        <is>
          <t>Wella Professionals &amp; Milbon Distributor Starter Stock list</t>
        </is>
      </c>
    </row>
    <row r="114">
      <c r="A114" t="inlineStr">
        <is>
          <t>Penang</t>
        </is>
      </c>
      <c r="B114" t="inlineStr">
        <is>
          <t>Other CAPEX</t>
        </is>
      </c>
      <c r="C114" t="inlineStr">
        <is>
          <t>Professional Styling Tools (Dyson dryers, shears)</t>
        </is>
      </c>
      <c r="D114" t="n">
        <v>1200</v>
      </c>
      <c r="E114" t="inlineStr">
        <is>
          <t>Dyson Professional Partner Pricing &amp; shears kit catalog</t>
        </is>
      </c>
    </row>
    <row r="115">
      <c r="A115" t="inlineStr">
        <is>
          <t>Penang</t>
        </is>
      </c>
      <c r="B115" t="inlineStr">
        <is>
          <t>Other CAPEX</t>
        </is>
      </c>
      <c r="C115" t="inlineStr">
        <is>
          <t>Retail Product Initial Stock (Oribe, Kérastase)</t>
        </is>
      </c>
      <c r="D115" t="n">
        <v>1200</v>
      </c>
      <c r="E115" t="inlineStr">
        <is>
          <t>Oribe &amp; Kérastase B2B opening inventory order guidelines</t>
        </is>
      </c>
    </row>
    <row r="116">
      <c r="A116" t="inlineStr">
        <is>
          <t>Penang</t>
        </is>
      </c>
      <c r="B116" t="inlineStr">
        <is>
          <t>Deposit</t>
        </is>
      </c>
      <c r="C116" t="inlineStr">
        <is>
          <t>Commercial Landlord Security Deposit (3 months)</t>
        </is>
      </c>
      <c r="D116" t="n">
        <v>2400</v>
      </c>
      <c r="E116" t="inlineStr">
        <is>
          <t>Standard commercial landlord lease terms for prime retail</t>
        </is>
      </c>
    </row>
    <row r="117">
      <c r="A117" t="inlineStr">
        <is>
          <t>Penang</t>
        </is>
      </c>
      <c r="B117" t="inlineStr">
        <is>
          <t>Biz Reg</t>
        </is>
      </c>
      <c r="C117" t="inlineStr">
        <is>
          <t>Company Incorporation &amp; Legal Registrations</t>
        </is>
      </c>
      <c r="D117" t="n">
        <v>4500</v>
      </c>
      <c r="E117" t="inlineStr">
        <is>
          <t>Local Companies Registry &amp; foreign entity setup filing fees</t>
        </is>
      </c>
    </row>
    <row r="118">
      <c r="A118" t="inlineStr">
        <is>
          <t>Penang</t>
        </is>
      </c>
      <c r="B118" t="inlineStr">
        <is>
          <t>Biz Reg</t>
        </is>
      </c>
      <c r="C118" t="inlineStr">
        <is>
          <t>Annual Resident Agent &amp; Secretary Retainer</t>
        </is>
      </c>
      <c r="D118" t="n">
        <v>3000</v>
      </c>
      <c r="E118" t="inlineStr">
        <is>
          <t>Local corporate services provider standard annual pricing</t>
        </is>
      </c>
    </row>
    <row r="119">
      <c r="A119" t="inlineStr">
        <is>
          <t>Sabah</t>
        </is>
      </c>
      <c r="B119" t="inlineStr">
        <is>
          <t>Fitout</t>
        </is>
      </c>
      <c r="C119" t="inlineStr">
        <is>
          <t>Interior Renovation &amp; Drywall Partitioning</t>
        </is>
      </c>
      <c r="D119" t="n">
        <v>7920</v>
      </c>
      <c r="E119" t="inlineStr">
        <is>
          <t>Local contractor labor and material cost estimates</t>
        </is>
      </c>
    </row>
    <row r="120">
      <c r="A120" t="inlineStr">
        <is>
          <t>Sabah</t>
        </is>
      </c>
      <c r="B120" t="inlineStr">
        <is>
          <t>Fitout</t>
        </is>
      </c>
      <c r="C120" t="inlineStr">
        <is>
          <t>Custom Joinery (Vanity units, retail shelving)</t>
        </is>
      </c>
      <c r="D120" t="n">
        <v>5940</v>
      </c>
      <c r="E120" t="inlineStr">
        <is>
          <t>Custom carpenter fabrication quotes for salon styling stations</t>
        </is>
      </c>
    </row>
    <row r="121">
      <c r="A121" t="inlineStr">
        <is>
          <t>Sabah</t>
        </is>
      </c>
      <c r="B121" t="inlineStr">
        <is>
          <t>Fitout</t>
        </is>
      </c>
      <c r="C121" t="inlineStr">
        <is>
          <t>Lighting &amp; Electrical Installations (High-CRI)</t>
        </is>
      </c>
      <c r="D121" t="n">
        <v>2970</v>
      </c>
      <c r="E121" t="inlineStr">
        <is>
          <t>Track lighting, wiring, and power outlet distribution quotes</t>
        </is>
      </c>
    </row>
    <row r="122">
      <c r="A122" t="inlineStr">
        <is>
          <t>Sabah</t>
        </is>
      </c>
      <c r="B122" t="inlineStr">
        <is>
          <t>Fitout</t>
        </is>
      </c>
      <c r="C122" t="inlineStr">
        <is>
          <t>Flooring &amp; Ceiling Works</t>
        </is>
      </c>
      <c r="D122" t="n">
        <v>2970</v>
      </c>
      <c r="E122" t="inlineStr">
        <is>
          <t>Acoustic ceiling tiling and water-resistant wood/tile flooring quotes</t>
        </is>
      </c>
    </row>
    <row r="123">
      <c r="A123" t="inlineStr">
        <is>
          <t>Sabah</t>
        </is>
      </c>
      <c r="B123" t="inlineStr">
        <is>
          <t>Equipment</t>
        </is>
      </c>
      <c r="C123" t="inlineStr">
        <is>
          <t>Takara Belmont Styling Chairs (4 units)</t>
        </is>
      </c>
      <c r="D123" t="n">
        <v>5800</v>
      </c>
      <c r="E123" t="inlineStr">
        <is>
          <t>Takara Belmont B2B Pricing Catalog (Premium Series)</t>
        </is>
      </c>
    </row>
    <row r="124">
      <c r="A124" t="inlineStr">
        <is>
          <t>Sabah</t>
        </is>
      </c>
      <c r="B124" t="inlineStr">
        <is>
          <t>Equipment</t>
        </is>
      </c>
      <c r="C124" t="inlineStr">
        <is>
          <t>Takara Belmont Backwash Wash Basins (2 units)</t>
        </is>
      </c>
      <c r="D124" t="n">
        <v>5075</v>
      </c>
      <c r="E124" t="inlineStr">
        <is>
          <t>Takara Belmont Wash Systems Catalog 2025</t>
        </is>
      </c>
    </row>
    <row r="125">
      <c r="A125" t="inlineStr">
        <is>
          <t>Sabah</t>
        </is>
      </c>
      <c r="B125" t="inlineStr">
        <is>
          <t>Equipment</t>
        </is>
      </c>
      <c r="C125" t="inlineStr">
        <is>
          <t>Water Softening &amp; Multi-Stage Filtration System</t>
        </is>
      </c>
      <c r="D125" t="n">
        <v>3625</v>
      </c>
      <c r="E125" t="inlineStr">
        <is>
          <t>Commercial RO system specifications and installation quote</t>
        </is>
      </c>
    </row>
    <row r="126">
      <c r="A126" t="inlineStr">
        <is>
          <t>Sabah</t>
        </is>
      </c>
      <c r="B126" t="inlineStr">
        <is>
          <t>Other CAPEX</t>
        </is>
      </c>
      <c r="C126" t="inlineStr">
        <is>
          <t>Initial Color &amp; Chemical Inventory (Stock)</t>
        </is>
      </c>
      <c r="D126" t="n">
        <v>2250</v>
      </c>
      <c r="E126" t="inlineStr">
        <is>
          <t>Wella Professionals &amp; Milbon Distributor Starter Stock list</t>
        </is>
      </c>
    </row>
    <row r="127">
      <c r="A127" t="inlineStr">
        <is>
          <t>Sabah</t>
        </is>
      </c>
      <c r="B127" t="inlineStr">
        <is>
          <t>Other CAPEX</t>
        </is>
      </c>
      <c r="C127" t="inlineStr">
        <is>
          <t>Professional Styling Tools (Dyson dryers, shears)</t>
        </is>
      </c>
      <c r="D127" t="n">
        <v>1125</v>
      </c>
      <c r="E127" t="inlineStr">
        <is>
          <t>Dyson Professional Partner Pricing &amp; shears kit catalog</t>
        </is>
      </c>
    </row>
    <row r="128">
      <c r="A128" t="inlineStr">
        <is>
          <t>Sabah</t>
        </is>
      </c>
      <c r="B128" t="inlineStr">
        <is>
          <t>Other CAPEX</t>
        </is>
      </c>
      <c r="C128" t="inlineStr">
        <is>
          <t>Retail Product Initial Stock (Oribe, Kérastase)</t>
        </is>
      </c>
      <c r="D128" t="n">
        <v>1125</v>
      </c>
      <c r="E128" t="inlineStr">
        <is>
          <t>Oribe &amp; Kérastase B2B opening inventory order guidelines</t>
        </is>
      </c>
    </row>
    <row r="129">
      <c r="A129" t="inlineStr">
        <is>
          <t>Sabah</t>
        </is>
      </c>
      <c r="B129" t="inlineStr">
        <is>
          <t>Deposit</t>
        </is>
      </c>
      <c r="C129" t="inlineStr">
        <is>
          <t>Commercial Landlord Security Deposit (3 months)</t>
        </is>
      </c>
      <c r="D129" t="n">
        <v>2700</v>
      </c>
      <c r="E129" t="inlineStr">
        <is>
          <t>Standard commercial landlord lease terms for prime retail</t>
        </is>
      </c>
    </row>
    <row r="130">
      <c r="A130" t="inlineStr">
        <is>
          <t>Sabah</t>
        </is>
      </c>
      <c r="B130" t="inlineStr">
        <is>
          <t>Biz Reg</t>
        </is>
      </c>
      <c r="C130" t="inlineStr">
        <is>
          <t>Company Incorporation &amp; Legal Registrations</t>
        </is>
      </c>
      <c r="D130" t="n">
        <v>4500</v>
      </c>
      <c r="E130" t="inlineStr">
        <is>
          <t>Local Companies Registry &amp; foreign entity setup filing fees</t>
        </is>
      </c>
    </row>
    <row r="131">
      <c r="A131" t="inlineStr">
        <is>
          <t>Sabah</t>
        </is>
      </c>
      <c r="B131" t="inlineStr">
        <is>
          <t>Biz Reg</t>
        </is>
      </c>
      <c r="C131" t="inlineStr">
        <is>
          <t>Annual Resident Agent &amp; Secretary Retainer</t>
        </is>
      </c>
      <c r="D131" t="n">
        <v>3000</v>
      </c>
      <c r="E131" t="inlineStr">
        <is>
          <t>Local corporate services provider standard annual pricing</t>
        </is>
      </c>
    </row>
    <row r="132">
      <c r="A132" t="inlineStr">
        <is>
          <t>Sarawak</t>
        </is>
      </c>
      <c r="B132" t="inlineStr">
        <is>
          <t>Fitout</t>
        </is>
      </c>
      <c r="C132" t="inlineStr">
        <is>
          <t>Interior Renovation &amp; Drywall Partitioning</t>
        </is>
      </c>
      <c r="D132" t="n">
        <v>7480</v>
      </c>
      <c r="E132" t="inlineStr">
        <is>
          <t>Local contractor labor and material cost estimates</t>
        </is>
      </c>
    </row>
    <row r="133">
      <c r="A133" t="inlineStr">
        <is>
          <t>Sarawak</t>
        </is>
      </c>
      <c r="B133" t="inlineStr">
        <is>
          <t>Fitout</t>
        </is>
      </c>
      <c r="C133" t="inlineStr">
        <is>
          <t>Custom Joinery (Vanity units, retail shelving)</t>
        </is>
      </c>
      <c r="D133" t="n">
        <v>5610</v>
      </c>
      <c r="E133" t="inlineStr">
        <is>
          <t>Custom carpenter fabrication quotes for salon styling stations</t>
        </is>
      </c>
    </row>
    <row r="134">
      <c r="A134" t="inlineStr">
        <is>
          <t>Sarawak</t>
        </is>
      </c>
      <c r="B134" t="inlineStr">
        <is>
          <t>Fitout</t>
        </is>
      </c>
      <c r="C134" t="inlineStr">
        <is>
          <t>Lighting &amp; Electrical Installations (High-CRI)</t>
        </is>
      </c>
      <c r="D134" t="n">
        <v>2805</v>
      </c>
      <c r="E134" t="inlineStr">
        <is>
          <t>Track lighting, wiring, and power outlet distribution quotes</t>
        </is>
      </c>
    </row>
    <row r="135">
      <c r="A135" t="inlineStr">
        <is>
          <t>Sarawak</t>
        </is>
      </c>
      <c r="B135" t="inlineStr">
        <is>
          <t>Fitout</t>
        </is>
      </c>
      <c r="C135" t="inlineStr">
        <is>
          <t>Flooring &amp; Ceiling Works</t>
        </is>
      </c>
      <c r="D135" t="n">
        <v>2805</v>
      </c>
      <c r="E135" t="inlineStr">
        <is>
          <t>Acoustic ceiling tiling and water-resistant wood/tile flooring quotes</t>
        </is>
      </c>
    </row>
    <row r="136">
      <c r="A136" t="inlineStr">
        <is>
          <t>Sarawak</t>
        </is>
      </c>
      <c r="B136" t="inlineStr">
        <is>
          <t>Equipment</t>
        </is>
      </c>
      <c r="C136" t="inlineStr">
        <is>
          <t>Takara Belmont Styling Chairs (4 units)</t>
        </is>
      </c>
      <c r="D136" t="n">
        <v>5600</v>
      </c>
      <c r="E136" t="inlineStr">
        <is>
          <t>Takara Belmont B2B Pricing Catalog (Premium Series)</t>
        </is>
      </c>
    </row>
    <row r="137">
      <c r="A137" t="inlineStr">
        <is>
          <t>Sarawak</t>
        </is>
      </c>
      <c r="B137" t="inlineStr">
        <is>
          <t>Equipment</t>
        </is>
      </c>
      <c r="C137" t="inlineStr">
        <is>
          <t>Takara Belmont Backwash Wash Basins (2 units)</t>
        </is>
      </c>
      <c r="D137" t="n">
        <v>4900</v>
      </c>
      <c r="E137" t="inlineStr">
        <is>
          <t>Takara Belmont Wash Systems Catalog 2025</t>
        </is>
      </c>
    </row>
    <row r="138">
      <c r="A138" t="inlineStr">
        <is>
          <t>Sarawak</t>
        </is>
      </c>
      <c r="B138" t="inlineStr">
        <is>
          <t>Equipment</t>
        </is>
      </c>
      <c r="C138" t="inlineStr">
        <is>
          <t>Water Softening &amp; Multi-Stage Filtration System</t>
        </is>
      </c>
      <c r="D138" t="n">
        <v>3500</v>
      </c>
      <c r="E138" t="inlineStr">
        <is>
          <t>Commercial RO system specifications and installation quote</t>
        </is>
      </c>
    </row>
    <row r="139">
      <c r="A139" t="inlineStr">
        <is>
          <t>Sarawak</t>
        </is>
      </c>
      <c r="B139" t="inlineStr">
        <is>
          <t>Other CAPEX</t>
        </is>
      </c>
      <c r="C139" t="inlineStr">
        <is>
          <t>Initial Color &amp; Chemical Inventory (Stock)</t>
        </is>
      </c>
      <c r="D139" t="n">
        <v>2100</v>
      </c>
      <c r="E139" t="inlineStr">
        <is>
          <t>Wella Professionals &amp; Milbon Distributor Starter Stock list</t>
        </is>
      </c>
    </row>
    <row r="140">
      <c r="A140" t="inlineStr">
        <is>
          <t>Sarawak</t>
        </is>
      </c>
      <c r="B140" t="inlineStr">
        <is>
          <t>Other CAPEX</t>
        </is>
      </c>
      <c r="C140" t="inlineStr">
        <is>
          <t>Professional Styling Tools (Dyson dryers, shears)</t>
        </is>
      </c>
      <c r="D140" t="n">
        <v>1050</v>
      </c>
      <c r="E140" t="inlineStr">
        <is>
          <t>Dyson Professional Partner Pricing &amp; shears kit catalog</t>
        </is>
      </c>
    </row>
    <row r="141">
      <c r="A141" t="inlineStr">
        <is>
          <t>Sarawak</t>
        </is>
      </c>
      <c r="B141" t="inlineStr">
        <is>
          <t>Other CAPEX</t>
        </is>
      </c>
      <c r="C141" t="inlineStr">
        <is>
          <t>Retail Product Initial Stock (Oribe, Kérastase)</t>
        </is>
      </c>
      <c r="D141" t="n">
        <v>1050</v>
      </c>
      <c r="E141" t="inlineStr">
        <is>
          <t>Oribe &amp; Kérastase B2B opening inventory order guidelines</t>
        </is>
      </c>
    </row>
    <row r="142">
      <c r="A142" t="inlineStr">
        <is>
          <t>Sarawak</t>
        </is>
      </c>
      <c r="B142" t="inlineStr">
        <is>
          <t>Deposit</t>
        </is>
      </c>
      <c r="C142" t="inlineStr">
        <is>
          <t>Commercial Landlord Security Deposit (3 months)</t>
        </is>
      </c>
      <c r="D142" t="n">
        <v>2100</v>
      </c>
      <c r="E142" t="inlineStr">
        <is>
          <t>Standard commercial landlord lease terms for prime retail</t>
        </is>
      </c>
    </row>
    <row r="143">
      <c r="A143" t="inlineStr">
        <is>
          <t>Sarawak</t>
        </is>
      </c>
      <c r="B143" t="inlineStr">
        <is>
          <t>Biz Reg</t>
        </is>
      </c>
      <c r="C143" t="inlineStr">
        <is>
          <t>Company Incorporation &amp; Legal Registrations</t>
        </is>
      </c>
      <c r="D143" t="n">
        <v>4500</v>
      </c>
      <c r="E143" t="inlineStr">
        <is>
          <t>Local Companies Registry &amp; foreign entity setup filing fees</t>
        </is>
      </c>
    </row>
    <row r="144">
      <c r="A144" t="inlineStr">
        <is>
          <t>Sarawak</t>
        </is>
      </c>
      <c r="B144" t="inlineStr">
        <is>
          <t>Biz Reg</t>
        </is>
      </c>
      <c r="C144" t="inlineStr">
        <is>
          <t>Annual Resident Agent &amp; Secretary Retainer</t>
        </is>
      </c>
      <c r="D144" t="n">
        <v>3000</v>
      </c>
      <c r="E144" t="inlineStr">
        <is>
          <t>Local corporate services provider standard annual pricing</t>
        </is>
      </c>
    </row>
    <row r="145">
      <c r="A145" t="inlineStr">
        <is>
          <t>Singapore</t>
        </is>
      </c>
      <c r="B145" t="inlineStr">
        <is>
          <t>Fitout</t>
        </is>
      </c>
      <c r="C145" t="inlineStr">
        <is>
          <t>Interior Renovation &amp; Drywall Partitioning</t>
        </is>
      </c>
      <c r="D145" t="n">
        <v>26640</v>
      </c>
      <c r="E145" t="inlineStr">
        <is>
          <t>Local contractor labor and material cost estimates</t>
        </is>
      </c>
    </row>
    <row r="146">
      <c r="A146" t="inlineStr">
        <is>
          <t>Singapore</t>
        </is>
      </c>
      <c r="B146" t="inlineStr">
        <is>
          <t>Fitout</t>
        </is>
      </c>
      <c r="C146" t="inlineStr">
        <is>
          <t>Custom Joinery (Vanity units, retail shelving)</t>
        </is>
      </c>
      <c r="D146" t="n">
        <v>19980</v>
      </c>
      <c r="E146" t="inlineStr">
        <is>
          <t>Custom carpenter fabrication quotes for salon styling stations</t>
        </is>
      </c>
    </row>
    <row r="147">
      <c r="A147" t="inlineStr">
        <is>
          <t>Singapore</t>
        </is>
      </c>
      <c r="B147" t="inlineStr">
        <is>
          <t>Fitout</t>
        </is>
      </c>
      <c r="C147" t="inlineStr">
        <is>
          <t>Lighting &amp; Electrical Installations (High-CRI)</t>
        </is>
      </c>
      <c r="D147" t="n">
        <v>9990</v>
      </c>
      <c r="E147" t="inlineStr">
        <is>
          <t>Track lighting, wiring, and power outlet distribution quotes</t>
        </is>
      </c>
    </row>
    <row r="148">
      <c r="A148" t="inlineStr">
        <is>
          <t>Singapore</t>
        </is>
      </c>
      <c r="B148" t="inlineStr">
        <is>
          <t>Fitout</t>
        </is>
      </c>
      <c r="C148" t="inlineStr">
        <is>
          <t>Flooring &amp; Ceiling Works</t>
        </is>
      </c>
      <c r="D148" t="n">
        <v>9990</v>
      </c>
      <c r="E148" t="inlineStr">
        <is>
          <t>Acoustic ceiling tiling and water-resistant wood/tile flooring quotes</t>
        </is>
      </c>
    </row>
    <row r="149">
      <c r="A149" t="inlineStr">
        <is>
          <t>Singapore</t>
        </is>
      </c>
      <c r="B149" t="inlineStr">
        <is>
          <t>Equipment</t>
        </is>
      </c>
      <c r="C149" t="inlineStr">
        <is>
          <t>Takara Belmont Styling Chairs (3 units)</t>
        </is>
      </c>
      <c r="D149" t="n">
        <v>8800</v>
      </c>
      <c r="E149" t="inlineStr">
        <is>
          <t>Takara Belmont B2B Pricing Catalog (Premium Series)</t>
        </is>
      </c>
    </row>
    <row r="150">
      <c r="A150" t="inlineStr">
        <is>
          <t>Singapore</t>
        </is>
      </c>
      <c r="B150" t="inlineStr">
        <is>
          <t>Equipment</t>
        </is>
      </c>
      <c r="C150" t="inlineStr">
        <is>
          <t>Takara Belmont Backwash Wash Basins (2 units)</t>
        </is>
      </c>
      <c r="D150" t="n">
        <v>7700</v>
      </c>
      <c r="E150" t="inlineStr">
        <is>
          <t>Takara Belmont Wash Systems Catalog 2025</t>
        </is>
      </c>
    </row>
    <row r="151">
      <c r="A151" t="inlineStr">
        <is>
          <t>Singapore</t>
        </is>
      </c>
      <c r="B151" t="inlineStr">
        <is>
          <t>Equipment</t>
        </is>
      </c>
      <c r="C151" t="inlineStr">
        <is>
          <t>Water Softening &amp; Multi-Stage Filtration System</t>
        </is>
      </c>
      <c r="D151" t="n">
        <v>5500</v>
      </c>
      <c r="E151" t="inlineStr">
        <is>
          <t>Commercial RO system specifications and installation quote</t>
        </is>
      </c>
    </row>
    <row r="152">
      <c r="A152" t="inlineStr">
        <is>
          <t>Singapore</t>
        </is>
      </c>
      <c r="B152" t="inlineStr">
        <is>
          <t>Other CAPEX</t>
        </is>
      </c>
      <c r="C152" t="inlineStr">
        <is>
          <t>Initial Color &amp; Chemical Inventory (Stock)</t>
        </is>
      </c>
      <c r="D152" t="n">
        <v>8250</v>
      </c>
      <c r="E152" t="inlineStr">
        <is>
          <t>Wella Professionals &amp; Milbon Distributor Starter Stock list</t>
        </is>
      </c>
    </row>
    <row r="153">
      <c r="A153" t="inlineStr">
        <is>
          <t>Singapore</t>
        </is>
      </c>
      <c r="B153" t="inlineStr">
        <is>
          <t>Other CAPEX</t>
        </is>
      </c>
      <c r="C153" t="inlineStr">
        <is>
          <t>Professional Styling Tools (Dyson dryers, shears)</t>
        </is>
      </c>
      <c r="D153" t="n">
        <v>4125</v>
      </c>
      <c r="E153" t="inlineStr">
        <is>
          <t>Dyson Professional Partner Pricing &amp; shears kit catalog</t>
        </is>
      </c>
    </row>
    <row r="154">
      <c r="A154" t="inlineStr">
        <is>
          <t>Singapore</t>
        </is>
      </c>
      <c r="B154" t="inlineStr">
        <is>
          <t>Other CAPEX</t>
        </is>
      </c>
      <c r="C154" t="inlineStr">
        <is>
          <t>Retail Product Initial Stock (Oribe, Kérastase)</t>
        </is>
      </c>
      <c r="D154" t="n">
        <v>4125</v>
      </c>
      <c r="E154" t="inlineStr">
        <is>
          <t>Oribe &amp; Kérastase B2B opening inventory order guidelines</t>
        </is>
      </c>
    </row>
    <row r="155">
      <c r="A155" t="inlineStr">
        <is>
          <t>Singapore</t>
        </is>
      </c>
      <c r="B155" t="inlineStr">
        <is>
          <t>Deposit</t>
        </is>
      </c>
      <c r="C155" t="inlineStr">
        <is>
          <t>Commercial Landlord Security Deposit (3 months)</t>
        </is>
      </c>
      <c r="D155" t="n">
        <v>16500</v>
      </c>
      <c r="E155" t="inlineStr">
        <is>
          <t>Standard commercial landlord lease terms for prime retail</t>
        </is>
      </c>
    </row>
    <row r="156">
      <c r="A156" t="inlineStr">
        <is>
          <t>Singapore</t>
        </is>
      </c>
      <c r="B156" t="inlineStr">
        <is>
          <t>Biz Reg</t>
        </is>
      </c>
      <c r="C156" t="inlineStr">
        <is>
          <t>Company Incorporation &amp; Legal Registrations</t>
        </is>
      </c>
      <c r="D156" t="n">
        <v>2400</v>
      </c>
      <c r="E156" t="inlineStr">
        <is>
          <t>Local Companies Registry &amp; foreign entity setup filing fees</t>
        </is>
      </c>
    </row>
    <row r="157">
      <c r="A157" t="inlineStr">
        <is>
          <t>Singapore</t>
        </is>
      </c>
      <c r="B157" t="inlineStr">
        <is>
          <t>Biz Reg</t>
        </is>
      </c>
      <c r="C157" t="inlineStr">
        <is>
          <t>Annual Resident Agent &amp; Secretary Retainer</t>
        </is>
      </c>
      <c r="D157" t="n">
        <v>1600</v>
      </c>
      <c r="E157" t="inlineStr">
        <is>
          <t>Local corporate services provider standard annual pricing</t>
        </is>
      </c>
    </row>
    <row r="158">
      <c r="A158" t="inlineStr">
        <is>
          <t>Hong Kong</t>
        </is>
      </c>
      <c r="B158" t="inlineStr">
        <is>
          <t>Fitout</t>
        </is>
      </c>
      <c r="C158" t="inlineStr">
        <is>
          <t>Interior Renovation &amp; Drywall Partitioning</t>
        </is>
      </c>
      <c r="D158" t="n">
        <v>30720</v>
      </c>
      <c r="E158" t="inlineStr">
        <is>
          <t>Local contractor labor and material cost estimates</t>
        </is>
      </c>
    </row>
    <row r="159">
      <c r="A159" t="inlineStr">
        <is>
          <t>Hong Kong</t>
        </is>
      </c>
      <c r="B159" t="inlineStr">
        <is>
          <t>Fitout</t>
        </is>
      </c>
      <c r="C159" t="inlineStr">
        <is>
          <t>Custom Joinery (Vanity units, retail shelving)</t>
        </is>
      </c>
      <c r="D159" t="n">
        <v>23040</v>
      </c>
      <c r="E159" t="inlineStr">
        <is>
          <t>Custom carpenter fabrication quotes for salon styling stations</t>
        </is>
      </c>
    </row>
    <row r="160">
      <c r="A160" t="inlineStr">
        <is>
          <t>Hong Kong</t>
        </is>
      </c>
      <c r="B160" t="inlineStr">
        <is>
          <t>Fitout</t>
        </is>
      </c>
      <c r="C160" t="inlineStr">
        <is>
          <t>Lighting &amp; Electrical Installations (High-CRI)</t>
        </is>
      </c>
      <c r="D160" t="n">
        <v>11520</v>
      </c>
      <c r="E160" t="inlineStr">
        <is>
          <t>Track lighting, wiring, and power outlet distribution quotes</t>
        </is>
      </c>
    </row>
    <row r="161">
      <c r="A161" t="inlineStr">
        <is>
          <t>Hong Kong</t>
        </is>
      </c>
      <c r="B161" t="inlineStr">
        <is>
          <t>Fitout</t>
        </is>
      </c>
      <c r="C161" t="inlineStr">
        <is>
          <t>Flooring &amp; Ceiling Works</t>
        </is>
      </c>
      <c r="D161" t="n">
        <v>11520</v>
      </c>
      <c r="E161" t="inlineStr">
        <is>
          <t>Acoustic ceiling tiling and water-resistant wood/tile flooring quotes</t>
        </is>
      </c>
    </row>
    <row r="162">
      <c r="A162" t="inlineStr">
        <is>
          <t>Hong Kong</t>
        </is>
      </c>
      <c r="B162" t="inlineStr">
        <is>
          <t>Equipment</t>
        </is>
      </c>
      <c r="C162" t="inlineStr">
        <is>
          <t>Takara Belmont Styling Chairs (3 units)</t>
        </is>
      </c>
      <c r="D162" t="n">
        <v>8800</v>
      </c>
      <c r="E162" t="inlineStr">
        <is>
          <t>Takara Belmont B2B Pricing Catalog (Premium Series)</t>
        </is>
      </c>
    </row>
    <row r="163">
      <c r="A163" t="inlineStr">
        <is>
          <t>Hong Kong</t>
        </is>
      </c>
      <c r="B163" t="inlineStr">
        <is>
          <t>Equipment</t>
        </is>
      </c>
      <c r="C163" t="inlineStr">
        <is>
          <t>Takara Belmont Backwash Wash Basins (2 units)</t>
        </is>
      </c>
      <c r="D163" t="n">
        <v>7700</v>
      </c>
      <c r="E163" t="inlineStr">
        <is>
          <t>Takara Belmont Wash Systems Catalog 2025</t>
        </is>
      </c>
    </row>
    <row r="164">
      <c r="A164" t="inlineStr">
        <is>
          <t>Hong Kong</t>
        </is>
      </c>
      <c r="B164" t="inlineStr">
        <is>
          <t>Equipment</t>
        </is>
      </c>
      <c r="C164" t="inlineStr">
        <is>
          <t>Water Softening &amp; Multi-Stage Filtration System</t>
        </is>
      </c>
      <c r="D164" t="n">
        <v>5500</v>
      </c>
      <c r="E164" t="inlineStr">
        <is>
          <t>Commercial RO system specifications and installation quote</t>
        </is>
      </c>
    </row>
    <row r="165">
      <c r="A165" t="inlineStr">
        <is>
          <t>Hong Kong</t>
        </is>
      </c>
      <c r="B165" t="inlineStr">
        <is>
          <t>Other CAPEX</t>
        </is>
      </c>
      <c r="C165" t="inlineStr">
        <is>
          <t>Initial Color &amp; Chemical Inventory (Stock)</t>
        </is>
      </c>
      <c r="D165" t="n">
        <v>12750</v>
      </c>
      <c r="E165" t="inlineStr">
        <is>
          <t>Wella Professionals &amp; Milbon Distributor Starter Stock list</t>
        </is>
      </c>
    </row>
    <row r="166">
      <c r="A166" t="inlineStr">
        <is>
          <t>Hong Kong</t>
        </is>
      </c>
      <c r="B166" t="inlineStr">
        <is>
          <t>Other CAPEX</t>
        </is>
      </c>
      <c r="C166" t="inlineStr">
        <is>
          <t>Professional Styling Tools (Dyson dryers, shears)</t>
        </is>
      </c>
      <c r="D166" t="n">
        <v>6375</v>
      </c>
      <c r="E166" t="inlineStr">
        <is>
          <t>Dyson Professional Partner Pricing &amp; shears kit catalog</t>
        </is>
      </c>
    </row>
    <row r="167">
      <c r="A167" t="inlineStr">
        <is>
          <t>Hong Kong</t>
        </is>
      </c>
      <c r="B167" t="inlineStr">
        <is>
          <t>Other CAPEX</t>
        </is>
      </c>
      <c r="C167" t="inlineStr">
        <is>
          <t>Retail Product Initial Stock (Oribe, Kérastase)</t>
        </is>
      </c>
      <c r="D167" t="n">
        <v>6375</v>
      </c>
      <c r="E167" t="inlineStr">
        <is>
          <t>Oribe &amp; Kérastase B2B opening inventory order guidelines</t>
        </is>
      </c>
    </row>
    <row r="168">
      <c r="A168" t="inlineStr">
        <is>
          <t>Hong Kong</t>
        </is>
      </c>
      <c r="B168" t="inlineStr">
        <is>
          <t>Deposit</t>
        </is>
      </c>
      <c r="C168" t="inlineStr">
        <is>
          <t>Commercial Landlord Security Deposit (3 months)</t>
        </is>
      </c>
      <c r="D168" t="n">
        <v>25500</v>
      </c>
      <c r="E168" t="inlineStr">
        <is>
          <t>Standard commercial landlord lease terms for prime retail</t>
        </is>
      </c>
    </row>
    <row r="169">
      <c r="A169" t="inlineStr">
        <is>
          <t>Hong Kong</t>
        </is>
      </c>
      <c r="B169" t="inlineStr">
        <is>
          <t>Biz Reg</t>
        </is>
      </c>
      <c r="C169" t="inlineStr">
        <is>
          <t>Company Incorporation &amp; Legal Registrations</t>
        </is>
      </c>
      <c r="D169" t="n">
        <v>2100</v>
      </c>
      <c r="E169" t="inlineStr">
        <is>
          <t>Local Companies Registry &amp; foreign entity setup filing fees</t>
        </is>
      </c>
    </row>
    <row r="170">
      <c r="A170" t="inlineStr">
        <is>
          <t>Hong Kong</t>
        </is>
      </c>
      <c r="B170" t="inlineStr">
        <is>
          <t>Biz Reg</t>
        </is>
      </c>
      <c r="C170" t="inlineStr">
        <is>
          <t>Annual Resident Agent &amp; Secretary Retainer</t>
        </is>
      </c>
      <c r="D170" t="n">
        <v>1400</v>
      </c>
      <c r="E170" t="inlineStr">
        <is>
          <t>Local corporate services provider standard annual pricing</t>
        </is>
      </c>
    </row>
    <row r="171">
      <c r="A171" t="inlineStr">
        <is>
          <t>Bangkok</t>
        </is>
      </c>
      <c r="B171" t="inlineStr">
        <is>
          <t>Fitout</t>
        </is>
      </c>
      <c r="C171" t="inlineStr">
        <is>
          <t>Interior Renovation &amp; Drywall Partitioning</t>
        </is>
      </c>
      <c r="D171" t="n">
        <v>17400</v>
      </c>
      <c r="E171" t="inlineStr">
        <is>
          <t>Local contractor labor and material cost estimates</t>
        </is>
      </c>
    </row>
    <row r="172">
      <c r="A172" t="inlineStr">
        <is>
          <t>Bangkok</t>
        </is>
      </c>
      <c r="B172" t="inlineStr">
        <is>
          <t>Fitout</t>
        </is>
      </c>
      <c r="C172" t="inlineStr">
        <is>
          <t>Custom Joinery (Vanity units, retail shelving)</t>
        </is>
      </c>
      <c r="D172" t="n">
        <v>13050</v>
      </c>
      <c r="E172" t="inlineStr">
        <is>
          <t>Custom carpenter fabrication quotes for salon styling stations</t>
        </is>
      </c>
    </row>
    <row r="173">
      <c r="A173" t="inlineStr">
        <is>
          <t>Bangkok</t>
        </is>
      </c>
      <c r="B173" t="inlineStr">
        <is>
          <t>Fitout</t>
        </is>
      </c>
      <c r="C173" t="inlineStr">
        <is>
          <t>Lighting &amp; Electrical Installations (High-CRI)</t>
        </is>
      </c>
      <c r="D173" t="n">
        <v>6525</v>
      </c>
      <c r="E173" t="inlineStr">
        <is>
          <t>Track lighting, wiring, and power outlet distribution quotes</t>
        </is>
      </c>
    </row>
    <row r="174">
      <c r="A174" t="inlineStr">
        <is>
          <t>Bangkok</t>
        </is>
      </c>
      <c r="B174" t="inlineStr">
        <is>
          <t>Fitout</t>
        </is>
      </c>
      <c r="C174" t="inlineStr">
        <is>
          <t>Flooring &amp; Ceiling Works</t>
        </is>
      </c>
      <c r="D174" t="n">
        <v>6525</v>
      </c>
      <c r="E174" t="inlineStr">
        <is>
          <t>Acoustic ceiling tiling and water-resistant wood/tile flooring quotes</t>
        </is>
      </c>
    </row>
    <row r="175">
      <c r="A175" t="inlineStr">
        <is>
          <t>Bangkok</t>
        </is>
      </c>
      <c r="B175" t="inlineStr">
        <is>
          <t>Equipment</t>
        </is>
      </c>
      <c r="C175" t="inlineStr">
        <is>
          <t>Takara Belmont Styling Chairs (4 units)</t>
        </is>
      </c>
      <c r="D175" t="n">
        <v>8000</v>
      </c>
      <c r="E175" t="inlineStr">
        <is>
          <t>Takara Belmont B2B Pricing Catalog (Premium Series)</t>
        </is>
      </c>
    </row>
    <row r="176">
      <c r="A176" t="inlineStr">
        <is>
          <t>Bangkok</t>
        </is>
      </c>
      <c r="B176" t="inlineStr">
        <is>
          <t>Equipment</t>
        </is>
      </c>
      <c r="C176" t="inlineStr">
        <is>
          <t>Takara Belmont Backwash Wash Basins (2 units)</t>
        </is>
      </c>
      <c r="D176" t="n">
        <v>7000</v>
      </c>
      <c r="E176" t="inlineStr">
        <is>
          <t>Takara Belmont Wash Systems Catalog 2025</t>
        </is>
      </c>
    </row>
    <row r="177">
      <c r="A177" t="inlineStr">
        <is>
          <t>Bangkok</t>
        </is>
      </c>
      <c r="B177" t="inlineStr">
        <is>
          <t>Equipment</t>
        </is>
      </c>
      <c r="C177" t="inlineStr">
        <is>
          <t>Water Softening &amp; Multi-Stage Filtration System</t>
        </is>
      </c>
      <c r="D177" t="n">
        <v>5000</v>
      </c>
      <c r="E177" t="inlineStr">
        <is>
          <t>Commercial RO system specifications and installation quote</t>
        </is>
      </c>
    </row>
    <row r="178">
      <c r="A178" t="inlineStr">
        <is>
          <t>Bangkok</t>
        </is>
      </c>
      <c r="B178" t="inlineStr">
        <is>
          <t>Other CAPEX</t>
        </is>
      </c>
      <c r="C178" t="inlineStr">
        <is>
          <t>Initial Color &amp; Chemical Inventory (Stock)</t>
        </is>
      </c>
      <c r="D178" t="n">
        <v>7500</v>
      </c>
      <c r="E178" t="inlineStr">
        <is>
          <t>Wella Professionals &amp; Milbon Distributor Starter Stock list</t>
        </is>
      </c>
    </row>
    <row r="179">
      <c r="A179" t="inlineStr">
        <is>
          <t>Bangkok</t>
        </is>
      </c>
      <c r="B179" t="inlineStr">
        <is>
          <t>Other CAPEX</t>
        </is>
      </c>
      <c r="C179" t="inlineStr">
        <is>
          <t>Professional Styling Tools (Dyson dryers, shears)</t>
        </is>
      </c>
      <c r="D179" t="n">
        <v>3750</v>
      </c>
      <c r="E179" t="inlineStr">
        <is>
          <t>Dyson Professional Partner Pricing &amp; shears kit catalog</t>
        </is>
      </c>
    </row>
    <row r="180">
      <c r="A180" t="inlineStr">
        <is>
          <t>Bangkok</t>
        </is>
      </c>
      <c r="B180" t="inlineStr">
        <is>
          <t>Other CAPEX</t>
        </is>
      </c>
      <c r="C180" t="inlineStr">
        <is>
          <t>Retail Product Initial Stock (Oribe, Kérastase)</t>
        </is>
      </c>
      <c r="D180" t="n">
        <v>3750</v>
      </c>
      <c r="E180" t="inlineStr">
        <is>
          <t>Oribe &amp; Kérastase B2B opening inventory order guidelines</t>
        </is>
      </c>
    </row>
    <row r="181">
      <c r="A181" t="inlineStr">
        <is>
          <t>Bangkok</t>
        </is>
      </c>
      <c r="B181" t="inlineStr">
        <is>
          <t>Deposit</t>
        </is>
      </c>
      <c r="C181" t="inlineStr">
        <is>
          <t>Commercial Landlord Security Deposit (3 months)</t>
        </is>
      </c>
      <c r="D181" t="n">
        <v>15000</v>
      </c>
      <c r="E181" t="inlineStr">
        <is>
          <t>Standard commercial landlord lease terms for prime retail</t>
        </is>
      </c>
    </row>
    <row r="182">
      <c r="A182" t="inlineStr">
        <is>
          <t>Bangkok</t>
        </is>
      </c>
      <c r="B182" t="inlineStr">
        <is>
          <t>Biz Reg</t>
        </is>
      </c>
      <c r="C182" t="inlineStr">
        <is>
          <t>Company Incorporation &amp; Legal Registrations</t>
        </is>
      </c>
      <c r="D182" t="n">
        <v>3900</v>
      </c>
      <c r="E182" t="inlineStr">
        <is>
          <t>Local Companies Registry &amp; foreign entity setup filing fees</t>
        </is>
      </c>
    </row>
    <row r="183">
      <c r="A183" t="inlineStr">
        <is>
          <t>Bangkok</t>
        </is>
      </c>
      <c r="B183" t="inlineStr">
        <is>
          <t>Biz Reg</t>
        </is>
      </c>
      <c r="C183" t="inlineStr">
        <is>
          <t>Annual Resident Agent &amp; Secretary Retainer</t>
        </is>
      </c>
      <c r="D183" t="n">
        <v>2600</v>
      </c>
      <c r="E183" t="inlineStr">
        <is>
          <t>Local corporate services provider standard annual pricing</t>
        </is>
      </c>
    </row>
    <row r="184">
      <c r="A184" t="inlineStr">
        <is>
          <t>Macau</t>
        </is>
      </c>
      <c r="B184" t="inlineStr">
        <is>
          <t>Fitout</t>
        </is>
      </c>
      <c r="C184" t="inlineStr">
        <is>
          <t>Interior Renovation &amp; Drywall Partitioning</t>
        </is>
      </c>
      <c r="D184" t="n">
        <v>17920</v>
      </c>
      <c r="E184" t="inlineStr">
        <is>
          <t>Local contractor labor and material cost estimates</t>
        </is>
      </c>
    </row>
    <row r="185">
      <c r="A185" t="inlineStr">
        <is>
          <t>Macau</t>
        </is>
      </c>
      <c r="B185" t="inlineStr">
        <is>
          <t>Fitout</t>
        </is>
      </c>
      <c r="C185" t="inlineStr">
        <is>
          <t>Custom Joinery (Vanity units, retail shelving)</t>
        </is>
      </c>
      <c r="D185" t="n">
        <v>13440</v>
      </c>
      <c r="E185" t="inlineStr">
        <is>
          <t>Custom carpenter fabrication quotes for salon styling stations</t>
        </is>
      </c>
    </row>
    <row r="186">
      <c r="A186" t="inlineStr">
        <is>
          <t>Macau</t>
        </is>
      </c>
      <c r="B186" t="inlineStr">
        <is>
          <t>Fitout</t>
        </is>
      </c>
      <c r="C186" t="inlineStr">
        <is>
          <t>Lighting &amp; Electrical Installations (High-CRI)</t>
        </is>
      </c>
      <c r="D186" t="n">
        <v>6720</v>
      </c>
      <c r="E186" t="inlineStr">
        <is>
          <t>Track lighting, wiring, and power outlet distribution quotes</t>
        </is>
      </c>
    </row>
    <row r="187">
      <c r="A187" t="inlineStr">
        <is>
          <t>Macau</t>
        </is>
      </c>
      <c r="B187" t="inlineStr">
        <is>
          <t>Fitout</t>
        </is>
      </c>
      <c r="C187" t="inlineStr">
        <is>
          <t>Flooring &amp; Ceiling Works</t>
        </is>
      </c>
      <c r="D187" t="n">
        <v>6720</v>
      </c>
      <c r="E187" t="inlineStr">
        <is>
          <t>Acoustic ceiling tiling and water-resistant wood/tile flooring quotes</t>
        </is>
      </c>
    </row>
    <row r="188">
      <c r="A188" t="inlineStr">
        <is>
          <t>Macau</t>
        </is>
      </c>
      <c r="B188" t="inlineStr">
        <is>
          <t>Equipment</t>
        </is>
      </c>
      <c r="C188" t="inlineStr">
        <is>
          <t>Takara Belmont Styling Chairs (3 units)</t>
        </is>
      </c>
      <c r="D188" t="n">
        <v>7200</v>
      </c>
      <c r="E188" t="inlineStr">
        <is>
          <t>Takara Belmont B2B Pricing Catalog (Premium Series)</t>
        </is>
      </c>
    </row>
    <row r="189">
      <c r="A189" t="inlineStr">
        <is>
          <t>Macau</t>
        </is>
      </c>
      <c r="B189" t="inlineStr">
        <is>
          <t>Equipment</t>
        </is>
      </c>
      <c r="C189" t="inlineStr">
        <is>
          <t>Takara Belmont Backwash Wash Basins (2 units)</t>
        </is>
      </c>
      <c r="D189" t="n">
        <v>6300</v>
      </c>
      <c r="E189" t="inlineStr">
        <is>
          <t>Takara Belmont Wash Systems Catalog 2025</t>
        </is>
      </c>
    </row>
    <row r="190">
      <c r="A190" t="inlineStr">
        <is>
          <t>Macau</t>
        </is>
      </c>
      <c r="B190" t="inlineStr">
        <is>
          <t>Equipment</t>
        </is>
      </c>
      <c r="C190" t="inlineStr">
        <is>
          <t>Water Softening &amp; Multi-Stage Filtration System</t>
        </is>
      </c>
      <c r="D190" t="n">
        <v>4500</v>
      </c>
      <c r="E190" t="inlineStr">
        <is>
          <t>Commercial RO system specifications and installation quote</t>
        </is>
      </c>
    </row>
    <row r="191">
      <c r="A191" t="inlineStr">
        <is>
          <t>Macau</t>
        </is>
      </c>
      <c r="B191" t="inlineStr">
        <is>
          <t>Other CAPEX</t>
        </is>
      </c>
      <c r="C191" t="inlineStr">
        <is>
          <t>Initial Color &amp; Chemical Inventory (Stock)</t>
        </is>
      </c>
      <c r="D191" t="n">
        <v>2700</v>
      </c>
      <c r="E191" t="inlineStr">
        <is>
          <t>Wella Professionals &amp; Milbon Distributor Starter Stock list</t>
        </is>
      </c>
    </row>
    <row r="192">
      <c r="A192" t="inlineStr">
        <is>
          <t>Macau</t>
        </is>
      </c>
      <c r="B192" t="inlineStr">
        <is>
          <t>Other CAPEX</t>
        </is>
      </c>
      <c r="C192" t="inlineStr">
        <is>
          <t>Professional Styling Tools (Dyson dryers, shears)</t>
        </is>
      </c>
      <c r="D192" t="n">
        <v>1350</v>
      </c>
      <c r="E192" t="inlineStr">
        <is>
          <t>Dyson Professional Partner Pricing &amp; shears kit catalog</t>
        </is>
      </c>
    </row>
    <row r="193">
      <c r="A193" t="inlineStr">
        <is>
          <t>Macau</t>
        </is>
      </c>
      <c r="B193" t="inlineStr">
        <is>
          <t>Other CAPEX</t>
        </is>
      </c>
      <c r="C193" t="inlineStr">
        <is>
          <t>Retail Product Initial Stock (Oribe, Kérastase)</t>
        </is>
      </c>
      <c r="D193" t="n">
        <v>1350</v>
      </c>
      <c r="E193" t="inlineStr">
        <is>
          <t>Oribe &amp; Kérastase B2B opening inventory order guidelines</t>
        </is>
      </c>
    </row>
    <row r="194">
      <c r="A194" t="inlineStr">
        <is>
          <t>Macau</t>
        </is>
      </c>
      <c r="B194" t="inlineStr">
        <is>
          <t>Deposit</t>
        </is>
      </c>
      <c r="C194" t="inlineStr">
        <is>
          <t>Commercial Landlord Security Deposit (3 months)</t>
        </is>
      </c>
      <c r="D194" t="n">
        <v>5400</v>
      </c>
      <c r="E194" t="inlineStr">
        <is>
          <t>Standard commercial landlord lease terms for prime retail</t>
        </is>
      </c>
    </row>
    <row r="195">
      <c r="A195" t="inlineStr">
        <is>
          <t>Macau</t>
        </is>
      </c>
      <c r="B195" t="inlineStr">
        <is>
          <t>Biz Reg</t>
        </is>
      </c>
      <c r="C195" t="inlineStr">
        <is>
          <t>Company Incorporation &amp; Legal Registrations</t>
        </is>
      </c>
      <c r="D195" t="n">
        <v>2700</v>
      </c>
      <c r="E195" t="inlineStr">
        <is>
          <t>Local Companies Registry &amp; foreign entity setup filing fees</t>
        </is>
      </c>
    </row>
    <row r="196">
      <c r="A196" t="inlineStr">
        <is>
          <t>Macau</t>
        </is>
      </c>
      <c r="B196" t="inlineStr">
        <is>
          <t>Biz Reg</t>
        </is>
      </c>
      <c r="C196" t="inlineStr">
        <is>
          <t>Annual Resident Agent &amp; Secretary Retainer</t>
        </is>
      </c>
      <c r="D196" t="n">
        <v>1800</v>
      </c>
      <c r="E196" t="inlineStr">
        <is>
          <t>Local corporate services provider standard annual pricing</t>
        </is>
      </c>
    </row>
    <row r="197">
      <c r="A197" t="inlineStr">
        <is>
          <t>Dubai</t>
        </is>
      </c>
      <c r="B197" t="inlineStr">
        <is>
          <t>Fitout</t>
        </is>
      </c>
      <c r="C197" t="inlineStr">
        <is>
          <t>Interior Renovation &amp; Drywall Partitioning</t>
        </is>
      </c>
      <c r="D197" t="n">
        <v>21760</v>
      </c>
      <c r="E197" t="inlineStr">
        <is>
          <t>Local contractor labor and material cost estimates</t>
        </is>
      </c>
    </row>
    <row r="198">
      <c r="A198" t="inlineStr">
        <is>
          <t>Dubai</t>
        </is>
      </c>
      <c r="B198" t="inlineStr">
        <is>
          <t>Fitout</t>
        </is>
      </c>
      <c r="C198" t="inlineStr">
        <is>
          <t>Custom Joinery (Vanity units, retail shelving)</t>
        </is>
      </c>
      <c r="D198" t="n">
        <v>16320</v>
      </c>
      <c r="E198" t="inlineStr">
        <is>
          <t>Custom carpenter fabrication quotes for salon styling stations</t>
        </is>
      </c>
    </row>
    <row r="199">
      <c r="A199" t="inlineStr">
        <is>
          <t>Dubai</t>
        </is>
      </c>
      <c r="B199" t="inlineStr">
        <is>
          <t>Fitout</t>
        </is>
      </c>
      <c r="C199" t="inlineStr">
        <is>
          <t>Lighting &amp; Electrical Installations (High-CRI)</t>
        </is>
      </c>
      <c r="D199" t="n">
        <v>8160</v>
      </c>
      <c r="E199" t="inlineStr">
        <is>
          <t>Track lighting, wiring, and power outlet distribution quotes</t>
        </is>
      </c>
    </row>
    <row r="200">
      <c r="A200" t="inlineStr">
        <is>
          <t>Dubai</t>
        </is>
      </c>
      <c r="B200" t="inlineStr">
        <is>
          <t>Fitout</t>
        </is>
      </c>
      <c r="C200" t="inlineStr">
        <is>
          <t>Flooring &amp; Ceiling Works</t>
        </is>
      </c>
      <c r="D200" t="n">
        <v>8160</v>
      </c>
      <c r="E200" t="inlineStr">
        <is>
          <t>Acoustic ceiling tiling and water-resistant wood/tile flooring quotes</t>
        </is>
      </c>
    </row>
    <row r="201">
      <c r="A201" t="inlineStr">
        <is>
          <t>Dubai</t>
        </is>
      </c>
      <c r="B201" t="inlineStr">
        <is>
          <t>Equipment</t>
        </is>
      </c>
      <c r="C201" t="inlineStr">
        <is>
          <t>Takara Belmont Styling Chairs (4 units)</t>
        </is>
      </c>
      <c r="D201" t="n">
        <v>8800</v>
      </c>
      <c r="E201" t="inlineStr">
        <is>
          <t>Takara Belmont B2B Pricing Catalog (Premium Series)</t>
        </is>
      </c>
    </row>
    <row r="202">
      <c r="A202" t="inlineStr">
        <is>
          <t>Dubai</t>
        </is>
      </c>
      <c r="B202" t="inlineStr">
        <is>
          <t>Equipment</t>
        </is>
      </c>
      <c r="C202" t="inlineStr">
        <is>
          <t>Takara Belmont Backwash Wash Basins (2 units)</t>
        </is>
      </c>
      <c r="D202" t="n">
        <v>7700</v>
      </c>
      <c r="E202" t="inlineStr">
        <is>
          <t>Takara Belmont Wash Systems Catalog 2025</t>
        </is>
      </c>
    </row>
    <row r="203">
      <c r="A203" t="inlineStr">
        <is>
          <t>Dubai</t>
        </is>
      </c>
      <c r="B203" t="inlineStr">
        <is>
          <t>Equipment</t>
        </is>
      </c>
      <c r="C203" t="inlineStr">
        <is>
          <t>Water Softening &amp; Multi-Stage Filtration System</t>
        </is>
      </c>
      <c r="D203" t="n">
        <v>5500</v>
      </c>
      <c r="E203" t="inlineStr">
        <is>
          <t>Commercial RO system specifications and installation quote</t>
        </is>
      </c>
    </row>
    <row r="204">
      <c r="A204" t="inlineStr">
        <is>
          <t>Dubai</t>
        </is>
      </c>
      <c r="B204" t="inlineStr">
        <is>
          <t>Other CAPEX</t>
        </is>
      </c>
      <c r="C204" t="inlineStr">
        <is>
          <t>Initial Color &amp; Chemical Inventory (Stock)</t>
        </is>
      </c>
      <c r="D204" t="n">
        <v>21000</v>
      </c>
      <c r="E204" t="inlineStr">
        <is>
          <t>Wella Professionals &amp; Milbon Distributor Starter Stock list</t>
        </is>
      </c>
    </row>
    <row r="205">
      <c r="A205" t="inlineStr">
        <is>
          <t>Dubai</t>
        </is>
      </c>
      <c r="B205" t="inlineStr">
        <is>
          <t>Other CAPEX</t>
        </is>
      </c>
      <c r="C205" t="inlineStr">
        <is>
          <t>Professional Styling Tools (Dyson dryers, shears)</t>
        </is>
      </c>
      <c r="D205" t="n">
        <v>10500</v>
      </c>
      <c r="E205" t="inlineStr">
        <is>
          <t>Dyson Professional Partner Pricing &amp; shears kit catalog</t>
        </is>
      </c>
    </row>
    <row r="206">
      <c r="A206" t="inlineStr">
        <is>
          <t>Dubai</t>
        </is>
      </c>
      <c r="B206" t="inlineStr">
        <is>
          <t>Other CAPEX</t>
        </is>
      </c>
      <c r="C206" t="inlineStr">
        <is>
          <t>Retail Product Initial Stock (Oribe, Kérastase)</t>
        </is>
      </c>
      <c r="D206" t="n">
        <v>10500</v>
      </c>
      <c r="E206" t="inlineStr">
        <is>
          <t>Oribe &amp; Kérastase B2B opening inventory order guidelines</t>
        </is>
      </c>
    </row>
    <row r="207">
      <c r="A207" t="inlineStr">
        <is>
          <t>Dubai</t>
        </is>
      </c>
      <c r="B207" t="inlineStr">
        <is>
          <t>Deposit</t>
        </is>
      </c>
      <c r="C207" t="inlineStr">
        <is>
          <t>Commercial Landlord Security Deposit (12 months)</t>
        </is>
      </c>
      <c r="D207" t="n">
        <v>42000</v>
      </c>
      <c r="E207" t="inlineStr">
        <is>
          <t>Standard commercial landlord lease terms for prime retail</t>
        </is>
      </c>
    </row>
    <row r="208">
      <c r="A208" t="inlineStr">
        <is>
          <t>Dubai</t>
        </is>
      </c>
      <c r="B208" t="inlineStr">
        <is>
          <t>Biz Reg</t>
        </is>
      </c>
      <c r="C208" t="inlineStr">
        <is>
          <t>Company Incorporation &amp; Legal Registrations</t>
        </is>
      </c>
      <c r="D208" t="n">
        <v>5100</v>
      </c>
      <c r="E208" t="inlineStr">
        <is>
          <t>Local Companies Registry &amp; foreign entity setup filing fees</t>
        </is>
      </c>
    </row>
    <row r="209">
      <c r="A209" t="inlineStr">
        <is>
          <t>Dubai</t>
        </is>
      </c>
      <c r="B209" t="inlineStr">
        <is>
          <t>Biz Reg</t>
        </is>
      </c>
      <c r="C209" t="inlineStr">
        <is>
          <t>Annual Resident Agent &amp; Secretary Retainer</t>
        </is>
      </c>
      <c r="D209" t="n">
        <v>3400</v>
      </c>
      <c r="E209" t="inlineStr">
        <is>
          <t>Local corporate services provider standard annual pricing</t>
        </is>
      </c>
    </row>
    <row r="210">
      <c r="A210" t="inlineStr">
        <is>
          <t>Taipei</t>
        </is>
      </c>
      <c r="B210" t="inlineStr">
        <is>
          <t>Fitout</t>
        </is>
      </c>
      <c r="C210" t="inlineStr">
        <is>
          <t>Interior Renovation &amp; Drywall Partitioning</t>
        </is>
      </c>
      <c r="D210" t="n">
        <v>22320</v>
      </c>
      <c r="E210" t="inlineStr">
        <is>
          <t>Local contractor labor and material cost estimates</t>
        </is>
      </c>
    </row>
    <row r="211">
      <c r="A211" t="inlineStr">
        <is>
          <t>Taipei</t>
        </is>
      </c>
      <c r="B211" t="inlineStr">
        <is>
          <t>Fitout</t>
        </is>
      </c>
      <c r="C211" t="inlineStr">
        <is>
          <t>Custom Joinery (Vanity units, retail shelving)</t>
        </is>
      </c>
      <c r="D211" t="n">
        <v>16740</v>
      </c>
      <c r="E211" t="inlineStr">
        <is>
          <t>Custom carpenter fabrication quotes for salon styling stations</t>
        </is>
      </c>
    </row>
    <row r="212">
      <c r="A212" t="inlineStr">
        <is>
          <t>Taipei</t>
        </is>
      </c>
      <c r="B212" t="inlineStr">
        <is>
          <t>Fitout</t>
        </is>
      </c>
      <c r="C212" t="inlineStr">
        <is>
          <t>Lighting &amp; Electrical Installations (High-CRI)</t>
        </is>
      </c>
      <c r="D212" t="n">
        <v>8370</v>
      </c>
      <c r="E212" t="inlineStr">
        <is>
          <t>Track lighting, wiring, and power outlet distribution quotes</t>
        </is>
      </c>
    </row>
    <row r="213">
      <c r="A213" t="inlineStr">
        <is>
          <t>Taipei</t>
        </is>
      </c>
      <c r="B213" t="inlineStr">
        <is>
          <t>Fitout</t>
        </is>
      </c>
      <c r="C213" t="inlineStr">
        <is>
          <t>Flooring &amp; Ceiling Works</t>
        </is>
      </c>
      <c r="D213" t="n">
        <v>8370</v>
      </c>
      <c r="E213" t="inlineStr">
        <is>
          <t>Acoustic ceiling tiling and water-resistant wood/tile flooring quotes</t>
        </is>
      </c>
    </row>
    <row r="214">
      <c r="A214" t="inlineStr">
        <is>
          <t>Taipei</t>
        </is>
      </c>
      <c r="B214" t="inlineStr">
        <is>
          <t>Equipment</t>
        </is>
      </c>
      <c r="C214" t="inlineStr">
        <is>
          <t>Takara Belmont Styling Chairs (4 units)</t>
        </is>
      </c>
      <c r="D214" t="n">
        <v>8000</v>
      </c>
      <c r="E214" t="inlineStr">
        <is>
          <t>Takara Belmont B2B Pricing Catalog (Premium Series)</t>
        </is>
      </c>
    </row>
    <row r="215">
      <c r="A215" t="inlineStr">
        <is>
          <t>Taipei</t>
        </is>
      </c>
      <c r="B215" t="inlineStr">
        <is>
          <t>Equipment</t>
        </is>
      </c>
      <c r="C215" t="inlineStr">
        <is>
          <t>Takara Belmont Backwash Wash Basins (2 units)</t>
        </is>
      </c>
      <c r="D215" t="n">
        <v>7000</v>
      </c>
      <c r="E215" t="inlineStr">
        <is>
          <t>Takara Belmont Wash Systems Catalog 2025</t>
        </is>
      </c>
    </row>
    <row r="216">
      <c r="A216" t="inlineStr">
        <is>
          <t>Taipei</t>
        </is>
      </c>
      <c r="B216" t="inlineStr">
        <is>
          <t>Equipment</t>
        </is>
      </c>
      <c r="C216" t="inlineStr">
        <is>
          <t>Water Softening &amp; Multi-Stage Filtration System</t>
        </is>
      </c>
      <c r="D216" t="n">
        <v>5000</v>
      </c>
      <c r="E216" t="inlineStr">
        <is>
          <t>Commercial RO system specifications and installation quote</t>
        </is>
      </c>
    </row>
    <row r="217">
      <c r="A217" t="inlineStr">
        <is>
          <t>Taipei</t>
        </is>
      </c>
      <c r="B217" t="inlineStr">
        <is>
          <t>Other CAPEX</t>
        </is>
      </c>
      <c r="C217" t="inlineStr">
        <is>
          <t>Initial Color &amp; Chemical Inventory (Stock)</t>
        </is>
      </c>
      <c r="D217" t="n">
        <v>3300</v>
      </c>
      <c r="E217" t="inlineStr">
        <is>
          <t>Wella Professionals &amp; Milbon Distributor Starter Stock list</t>
        </is>
      </c>
    </row>
    <row r="218">
      <c r="A218" t="inlineStr">
        <is>
          <t>Taipei</t>
        </is>
      </c>
      <c r="B218" t="inlineStr">
        <is>
          <t>Other CAPEX</t>
        </is>
      </c>
      <c r="C218" t="inlineStr">
        <is>
          <t>Professional Styling Tools (Dyson dryers, shears)</t>
        </is>
      </c>
      <c r="D218" t="n">
        <v>1650</v>
      </c>
      <c r="E218" t="inlineStr">
        <is>
          <t>Dyson Professional Partner Pricing &amp; shears kit catalog</t>
        </is>
      </c>
    </row>
    <row r="219">
      <c r="A219" t="inlineStr">
        <is>
          <t>Taipei</t>
        </is>
      </c>
      <c r="B219" t="inlineStr">
        <is>
          <t>Other CAPEX</t>
        </is>
      </c>
      <c r="C219" t="inlineStr">
        <is>
          <t>Retail Product Initial Stock (Oribe, Kérastase)</t>
        </is>
      </c>
      <c r="D219" t="n">
        <v>1650</v>
      </c>
      <c r="E219" t="inlineStr">
        <is>
          <t>Oribe &amp; Kérastase B2B opening inventory order guidelines</t>
        </is>
      </c>
    </row>
    <row r="220">
      <c r="A220" t="inlineStr">
        <is>
          <t>Taipei</t>
        </is>
      </c>
      <c r="B220" t="inlineStr">
        <is>
          <t>Deposit</t>
        </is>
      </c>
      <c r="C220" t="inlineStr">
        <is>
          <t>Commercial Landlord Security Deposit (3 months)</t>
        </is>
      </c>
      <c r="D220" t="n">
        <v>10200</v>
      </c>
      <c r="E220" t="inlineStr">
        <is>
          <t>Standard commercial landlord lease terms for prime retail</t>
        </is>
      </c>
    </row>
    <row r="221">
      <c r="A221" t="inlineStr">
        <is>
          <t>Taipei</t>
        </is>
      </c>
      <c r="B221" t="inlineStr">
        <is>
          <t>Biz Reg</t>
        </is>
      </c>
      <c r="C221" t="inlineStr">
        <is>
          <t>Company Incorporation &amp; Legal Registrations</t>
        </is>
      </c>
      <c r="D221" t="n">
        <v>3300</v>
      </c>
      <c r="E221" t="inlineStr">
        <is>
          <t>Local Companies Registry &amp; foreign entity setup filing fees</t>
        </is>
      </c>
    </row>
    <row r="222">
      <c r="A222" t="inlineStr">
        <is>
          <t>Taipei</t>
        </is>
      </c>
      <c r="B222" t="inlineStr">
        <is>
          <t>Biz Reg</t>
        </is>
      </c>
      <c r="C222" t="inlineStr">
        <is>
          <t>Annual Resident Agent &amp; Secretary Retainer</t>
        </is>
      </c>
      <c r="D222" t="n">
        <v>2200</v>
      </c>
      <c r="E222" t="inlineStr">
        <is>
          <t>Local corporate services provider standard annual pricing</t>
        </is>
      </c>
    </row>
    <row r="223">
      <c r="A223" t="inlineStr">
        <is>
          <t>Taichung</t>
        </is>
      </c>
      <c r="B223" t="inlineStr">
        <is>
          <t>Fitout</t>
        </is>
      </c>
      <c r="C223" t="inlineStr">
        <is>
          <t>Interior Renovation &amp; Drywall Partitioning</t>
        </is>
      </c>
      <c r="D223" t="n">
        <v>18600</v>
      </c>
      <c r="E223" t="inlineStr">
        <is>
          <t>Local contractor labor and material cost estimates</t>
        </is>
      </c>
    </row>
    <row r="224">
      <c r="A224" t="inlineStr">
        <is>
          <t>Taichung</t>
        </is>
      </c>
      <c r="B224" t="inlineStr">
        <is>
          <t>Fitout</t>
        </is>
      </c>
      <c r="C224" t="inlineStr">
        <is>
          <t>Custom Joinery (Vanity units, retail shelving)</t>
        </is>
      </c>
      <c r="D224" t="n">
        <v>13950</v>
      </c>
      <c r="E224" t="inlineStr">
        <is>
          <t>Custom carpenter fabrication quotes for salon styling stations</t>
        </is>
      </c>
    </row>
    <row r="225">
      <c r="A225" t="inlineStr">
        <is>
          <t>Taichung</t>
        </is>
      </c>
      <c r="B225" t="inlineStr">
        <is>
          <t>Fitout</t>
        </is>
      </c>
      <c r="C225" t="inlineStr">
        <is>
          <t>Lighting &amp; Electrical Installations (High-CRI)</t>
        </is>
      </c>
      <c r="D225" t="n">
        <v>6975</v>
      </c>
      <c r="E225" t="inlineStr">
        <is>
          <t>Track lighting, wiring, and power outlet distribution quotes</t>
        </is>
      </c>
    </row>
    <row r="226">
      <c r="A226" t="inlineStr">
        <is>
          <t>Taichung</t>
        </is>
      </c>
      <c r="B226" t="inlineStr">
        <is>
          <t>Fitout</t>
        </is>
      </c>
      <c r="C226" t="inlineStr">
        <is>
          <t>Flooring &amp; Ceiling Works</t>
        </is>
      </c>
      <c r="D226" t="n">
        <v>6975</v>
      </c>
      <c r="E226" t="inlineStr">
        <is>
          <t>Acoustic ceiling tiling and water-resistant wood/tile flooring quotes</t>
        </is>
      </c>
    </row>
    <row r="227">
      <c r="A227" t="inlineStr">
        <is>
          <t>Taichung</t>
        </is>
      </c>
      <c r="B227" t="inlineStr">
        <is>
          <t>Equipment</t>
        </is>
      </c>
      <c r="C227" t="inlineStr">
        <is>
          <t>Takara Belmont Styling Chairs (4 units)</t>
        </is>
      </c>
      <c r="D227" t="n">
        <v>7200</v>
      </c>
      <c r="E227" t="inlineStr">
        <is>
          <t>Takara Belmont B2B Pricing Catalog (Premium Series)</t>
        </is>
      </c>
    </row>
    <row r="228">
      <c r="A228" t="inlineStr">
        <is>
          <t>Taichung</t>
        </is>
      </c>
      <c r="B228" t="inlineStr">
        <is>
          <t>Equipment</t>
        </is>
      </c>
      <c r="C228" t="inlineStr">
        <is>
          <t>Takara Belmont Backwash Wash Basins (2 units)</t>
        </is>
      </c>
      <c r="D228" t="n">
        <v>6300</v>
      </c>
      <c r="E228" t="inlineStr">
        <is>
          <t>Takara Belmont Wash Systems Catalog 2025</t>
        </is>
      </c>
    </row>
    <row r="229">
      <c r="A229" t="inlineStr">
        <is>
          <t>Taichung</t>
        </is>
      </c>
      <c r="B229" t="inlineStr">
        <is>
          <t>Equipment</t>
        </is>
      </c>
      <c r="C229" t="inlineStr">
        <is>
          <t>Water Softening &amp; Multi-Stage Filtration System</t>
        </is>
      </c>
      <c r="D229" t="n">
        <v>4500</v>
      </c>
      <c r="E229" t="inlineStr">
        <is>
          <t>Commercial RO system specifications and installation quote</t>
        </is>
      </c>
    </row>
    <row r="230">
      <c r="A230" t="inlineStr">
        <is>
          <t>Taichung</t>
        </is>
      </c>
      <c r="B230" t="inlineStr">
        <is>
          <t>Other CAPEX</t>
        </is>
      </c>
      <c r="C230" t="inlineStr">
        <is>
          <t>Initial Color &amp; Chemical Inventory (Stock)</t>
        </is>
      </c>
      <c r="D230" t="n">
        <v>2700</v>
      </c>
      <c r="E230" t="inlineStr">
        <is>
          <t>Wella Professionals &amp; Milbon Distributor Starter Stock list</t>
        </is>
      </c>
    </row>
    <row r="231">
      <c r="A231" t="inlineStr">
        <is>
          <t>Taichung</t>
        </is>
      </c>
      <c r="B231" t="inlineStr">
        <is>
          <t>Other CAPEX</t>
        </is>
      </c>
      <c r="C231" t="inlineStr">
        <is>
          <t>Professional Styling Tools (Dyson dryers, shears)</t>
        </is>
      </c>
      <c r="D231" t="n">
        <v>1350</v>
      </c>
      <c r="E231" t="inlineStr">
        <is>
          <t>Dyson Professional Partner Pricing &amp; shears kit catalog</t>
        </is>
      </c>
    </row>
    <row r="232">
      <c r="A232" t="inlineStr">
        <is>
          <t>Taichung</t>
        </is>
      </c>
      <c r="B232" t="inlineStr">
        <is>
          <t>Other CAPEX</t>
        </is>
      </c>
      <c r="C232" t="inlineStr">
        <is>
          <t>Retail Product Initial Stock (Oribe, Kérastase)</t>
        </is>
      </c>
      <c r="D232" t="n">
        <v>1350</v>
      </c>
      <c r="E232" t="inlineStr">
        <is>
          <t>Oribe &amp; Kérastase B2B opening inventory order guidelines</t>
        </is>
      </c>
    </row>
    <row r="233">
      <c r="A233" t="inlineStr">
        <is>
          <t>Taichung</t>
        </is>
      </c>
      <c r="B233" t="inlineStr">
        <is>
          <t>Deposit</t>
        </is>
      </c>
      <c r="C233" t="inlineStr">
        <is>
          <t>Commercial Landlord Security Deposit (3 months)</t>
        </is>
      </c>
      <c r="D233" t="n">
        <v>9000</v>
      </c>
      <c r="E233" t="inlineStr">
        <is>
          <t>Standard commercial landlord lease terms for prime retail</t>
        </is>
      </c>
    </row>
    <row r="234">
      <c r="A234" t="inlineStr">
        <is>
          <t>Taichung</t>
        </is>
      </c>
      <c r="B234" t="inlineStr">
        <is>
          <t>Biz Reg</t>
        </is>
      </c>
      <c r="C234" t="inlineStr">
        <is>
          <t>Company Incorporation &amp; Legal Registrations</t>
        </is>
      </c>
      <c r="D234" t="n">
        <v>3300</v>
      </c>
      <c r="E234" t="inlineStr">
        <is>
          <t>Local Companies Registry &amp; foreign entity setup filing fees</t>
        </is>
      </c>
    </row>
    <row r="235">
      <c r="A235" t="inlineStr">
        <is>
          <t>Taichung</t>
        </is>
      </c>
      <c r="B235" t="inlineStr">
        <is>
          <t>Biz Reg</t>
        </is>
      </c>
      <c r="C235" t="inlineStr">
        <is>
          <t>Annual Resident Agent &amp; Secretary Retainer</t>
        </is>
      </c>
      <c r="D235" t="n">
        <v>2200</v>
      </c>
      <c r="E235" t="inlineStr">
        <is>
          <t>Local corporate services provider standard annual pricing</t>
        </is>
      </c>
    </row>
    <row r="236">
      <c r="A236" t="inlineStr">
        <is>
          <t>Kaohsiung</t>
        </is>
      </c>
      <c r="B236" t="inlineStr">
        <is>
          <t>Fitout</t>
        </is>
      </c>
      <c r="C236" t="inlineStr">
        <is>
          <t>Interior Renovation &amp; Drywall Partitioning</t>
        </is>
      </c>
      <c r="D236" t="n">
        <v>14880</v>
      </c>
      <c r="E236" t="inlineStr">
        <is>
          <t>Local contractor labor and material cost estimates</t>
        </is>
      </c>
    </row>
    <row r="237">
      <c r="A237" t="inlineStr">
        <is>
          <t>Kaohsiung</t>
        </is>
      </c>
      <c r="B237" t="inlineStr">
        <is>
          <t>Fitout</t>
        </is>
      </c>
      <c r="C237" t="inlineStr">
        <is>
          <t>Custom Joinery (Vanity units, retail shelving)</t>
        </is>
      </c>
      <c r="D237" t="n">
        <v>11160</v>
      </c>
      <c r="E237" t="inlineStr">
        <is>
          <t>Custom carpenter fabrication quotes for salon styling stations</t>
        </is>
      </c>
    </row>
    <row r="238">
      <c r="A238" t="inlineStr">
        <is>
          <t>Kaohsiung</t>
        </is>
      </c>
      <c r="B238" t="inlineStr">
        <is>
          <t>Fitout</t>
        </is>
      </c>
      <c r="C238" t="inlineStr">
        <is>
          <t>Lighting &amp; Electrical Installations (High-CRI)</t>
        </is>
      </c>
      <c r="D238" t="n">
        <v>5580</v>
      </c>
      <c r="E238" t="inlineStr">
        <is>
          <t>Track lighting, wiring, and power outlet distribution quotes</t>
        </is>
      </c>
    </row>
    <row r="239">
      <c r="A239" t="inlineStr">
        <is>
          <t>Kaohsiung</t>
        </is>
      </c>
      <c r="B239" t="inlineStr">
        <is>
          <t>Fitout</t>
        </is>
      </c>
      <c r="C239" t="inlineStr">
        <is>
          <t>Flooring &amp; Ceiling Works</t>
        </is>
      </c>
      <c r="D239" t="n">
        <v>5580</v>
      </c>
      <c r="E239" t="inlineStr">
        <is>
          <t>Acoustic ceiling tiling and water-resistant wood/tile flooring quotes</t>
        </is>
      </c>
    </row>
    <row r="240">
      <c r="A240" t="inlineStr">
        <is>
          <t>Kaohsiung</t>
        </is>
      </c>
      <c r="B240" t="inlineStr">
        <is>
          <t>Equipment</t>
        </is>
      </c>
      <c r="C240" t="inlineStr">
        <is>
          <t>Takara Belmont Styling Chairs (4 units)</t>
        </is>
      </c>
      <c r="D240" t="n">
        <v>6800</v>
      </c>
      <c r="E240" t="inlineStr">
        <is>
          <t>Takara Belmont B2B Pricing Catalog (Premium Series)</t>
        </is>
      </c>
    </row>
    <row r="241">
      <c r="A241" t="inlineStr">
        <is>
          <t>Kaohsiung</t>
        </is>
      </c>
      <c r="B241" t="inlineStr">
        <is>
          <t>Equipment</t>
        </is>
      </c>
      <c r="C241" t="inlineStr">
        <is>
          <t>Takara Belmont Backwash Wash Basins (2 units)</t>
        </is>
      </c>
      <c r="D241" t="n">
        <v>5950</v>
      </c>
      <c r="E241" t="inlineStr">
        <is>
          <t>Takara Belmont Wash Systems Catalog 2025</t>
        </is>
      </c>
    </row>
    <row r="242">
      <c r="A242" t="inlineStr">
        <is>
          <t>Kaohsiung</t>
        </is>
      </c>
      <c r="B242" t="inlineStr">
        <is>
          <t>Equipment</t>
        </is>
      </c>
      <c r="C242" t="inlineStr">
        <is>
          <t>Water Softening &amp; Multi-Stage Filtration System</t>
        </is>
      </c>
      <c r="D242" t="n">
        <v>4250</v>
      </c>
      <c r="E242" t="inlineStr">
        <is>
          <t>Commercial RO system specifications and installation quote</t>
        </is>
      </c>
    </row>
    <row r="243">
      <c r="A243" t="inlineStr">
        <is>
          <t>Kaohsiung</t>
        </is>
      </c>
      <c r="B243" t="inlineStr">
        <is>
          <t>Other CAPEX</t>
        </is>
      </c>
      <c r="C243" t="inlineStr">
        <is>
          <t>Initial Color &amp; Chemical Inventory (Stock)</t>
        </is>
      </c>
      <c r="D243" t="n">
        <v>1800</v>
      </c>
      <c r="E243" t="inlineStr">
        <is>
          <t>Wella Professionals &amp; Milbon Distributor Starter Stock list</t>
        </is>
      </c>
    </row>
    <row r="244">
      <c r="A244" t="inlineStr">
        <is>
          <t>Kaohsiung</t>
        </is>
      </c>
      <c r="B244" t="inlineStr">
        <is>
          <t>Other CAPEX</t>
        </is>
      </c>
      <c r="C244" t="inlineStr">
        <is>
          <t>Professional Styling Tools (Dyson dryers, shears)</t>
        </is>
      </c>
      <c r="D244" t="n">
        <v>900</v>
      </c>
      <c r="E244" t="inlineStr">
        <is>
          <t>Dyson Professional Partner Pricing &amp; shears kit catalog</t>
        </is>
      </c>
    </row>
    <row r="245">
      <c r="A245" t="inlineStr">
        <is>
          <t>Kaohsiung</t>
        </is>
      </c>
      <c r="B245" t="inlineStr">
        <is>
          <t>Other CAPEX</t>
        </is>
      </c>
      <c r="C245" t="inlineStr">
        <is>
          <t>Retail Product Initial Stock (Oribe, Kérastase)</t>
        </is>
      </c>
      <c r="D245" t="n">
        <v>900</v>
      </c>
      <c r="E245" t="inlineStr">
        <is>
          <t>Oribe &amp; Kérastase B2B opening inventory order guidelines</t>
        </is>
      </c>
    </row>
    <row r="246">
      <c r="A246" t="inlineStr">
        <is>
          <t>Kaohsiung</t>
        </is>
      </c>
      <c r="B246" t="inlineStr">
        <is>
          <t>Deposit</t>
        </is>
      </c>
      <c r="C246" t="inlineStr">
        <is>
          <t>Commercial Landlord Security Deposit (3 months)</t>
        </is>
      </c>
      <c r="D246" t="n">
        <v>6000</v>
      </c>
      <c r="E246" t="inlineStr">
        <is>
          <t>Standard commercial landlord lease terms for prime retail</t>
        </is>
      </c>
    </row>
    <row r="247">
      <c r="A247" t="inlineStr">
        <is>
          <t>Kaohsiung</t>
        </is>
      </c>
      <c r="B247" t="inlineStr">
        <is>
          <t>Biz Reg</t>
        </is>
      </c>
      <c r="C247" t="inlineStr">
        <is>
          <t>Company Incorporation &amp; Legal Registrations</t>
        </is>
      </c>
      <c r="D247" t="n">
        <v>3300</v>
      </c>
      <c r="E247" t="inlineStr">
        <is>
          <t>Local Companies Registry &amp; foreign entity setup filing fees</t>
        </is>
      </c>
    </row>
    <row r="248">
      <c r="A248" t="inlineStr">
        <is>
          <t>Kaohsiung</t>
        </is>
      </c>
      <c r="B248" t="inlineStr">
        <is>
          <t>Biz Reg</t>
        </is>
      </c>
      <c r="C248" t="inlineStr">
        <is>
          <t>Annual Resident Agent &amp; Secretary Retainer</t>
        </is>
      </c>
      <c r="D248" t="n">
        <v>2200</v>
      </c>
      <c r="E248" t="inlineStr">
        <is>
          <t>Local corporate services provider standard annual pricing</t>
        </is>
      </c>
    </row>
    <row r="249">
      <c r="A249" t="inlineStr">
        <is>
          <t>Tainan</t>
        </is>
      </c>
      <c r="B249" t="inlineStr">
        <is>
          <t>Fitout</t>
        </is>
      </c>
      <c r="C249" t="inlineStr">
        <is>
          <t>Interior Renovation &amp; Drywall Partitioning</t>
        </is>
      </c>
      <c r="D249" t="n">
        <v>13640</v>
      </c>
      <c r="E249" t="inlineStr">
        <is>
          <t>Local contractor labor and material cost estimates</t>
        </is>
      </c>
    </row>
    <row r="250">
      <c r="A250" t="inlineStr">
        <is>
          <t>Tainan</t>
        </is>
      </c>
      <c r="B250" t="inlineStr">
        <is>
          <t>Fitout</t>
        </is>
      </c>
      <c r="C250" t="inlineStr">
        <is>
          <t>Custom Joinery (Vanity units, retail shelving)</t>
        </is>
      </c>
      <c r="D250" t="n">
        <v>10230</v>
      </c>
      <c r="E250" t="inlineStr">
        <is>
          <t>Custom carpenter fabrication quotes for salon styling stations</t>
        </is>
      </c>
    </row>
    <row r="251">
      <c r="A251" t="inlineStr">
        <is>
          <t>Tainan</t>
        </is>
      </c>
      <c r="B251" t="inlineStr">
        <is>
          <t>Fitout</t>
        </is>
      </c>
      <c r="C251" t="inlineStr">
        <is>
          <t>Lighting &amp; Electrical Installations (High-CRI)</t>
        </is>
      </c>
      <c r="D251" t="n">
        <v>5115</v>
      </c>
      <c r="E251" t="inlineStr">
        <is>
          <t>Track lighting, wiring, and power outlet distribution quotes</t>
        </is>
      </c>
    </row>
    <row r="252">
      <c r="A252" t="inlineStr">
        <is>
          <t>Tainan</t>
        </is>
      </c>
      <c r="B252" t="inlineStr">
        <is>
          <t>Fitout</t>
        </is>
      </c>
      <c r="C252" t="inlineStr">
        <is>
          <t>Flooring &amp; Ceiling Works</t>
        </is>
      </c>
      <c r="D252" t="n">
        <v>5115</v>
      </c>
      <c r="E252" t="inlineStr">
        <is>
          <t>Acoustic ceiling tiling and water-resistant wood/tile flooring quotes</t>
        </is>
      </c>
    </row>
    <row r="253">
      <c r="A253" t="inlineStr">
        <is>
          <t>Tainan</t>
        </is>
      </c>
      <c r="B253" t="inlineStr">
        <is>
          <t>Equipment</t>
        </is>
      </c>
      <c r="C253" t="inlineStr">
        <is>
          <t>Takara Belmont Styling Chairs (3 units)</t>
        </is>
      </c>
      <c r="D253" t="n">
        <v>6400</v>
      </c>
      <c r="E253" t="inlineStr">
        <is>
          <t>Takara Belmont B2B Pricing Catalog (Premium Series)</t>
        </is>
      </c>
    </row>
    <row r="254">
      <c r="A254" t="inlineStr">
        <is>
          <t>Tainan</t>
        </is>
      </c>
      <c r="B254" t="inlineStr">
        <is>
          <t>Equipment</t>
        </is>
      </c>
      <c r="C254" t="inlineStr">
        <is>
          <t>Takara Belmont Backwash Wash Basins (2 units)</t>
        </is>
      </c>
      <c r="D254" t="n">
        <v>5600</v>
      </c>
      <c r="E254" t="inlineStr">
        <is>
          <t>Takara Belmont Wash Systems Catalog 2025</t>
        </is>
      </c>
    </row>
    <row r="255">
      <c r="A255" t="inlineStr">
        <is>
          <t>Tainan</t>
        </is>
      </c>
      <c r="B255" t="inlineStr">
        <is>
          <t>Equipment</t>
        </is>
      </c>
      <c r="C255" t="inlineStr">
        <is>
          <t>Water Softening &amp; Multi-Stage Filtration System</t>
        </is>
      </c>
      <c r="D255" t="n">
        <v>4000</v>
      </c>
      <c r="E255" t="inlineStr">
        <is>
          <t>Commercial RO system specifications and installation quote</t>
        </is>
      </c>
    </row>
    <row r="256">
      <c r="A256" t="inlineStr">
        <is>
          <t>Tainan</t>
        </is>
      </c>
      <c r="B256" t="inlineStr">
        <is>
          <t>Other CAPEX</t>
        </is>
      </c>
      <c r="C256" t="inlineStr">
        <is>
          <t>Initial Color &amp; Chemical Inventory (Stock)</t>
        </is>
      </c>
      <c r="D256" t="n">
        <v>1350</v>
      </c>
      <c r="E256" t="inlineStr">
        <is>
          <t>Wella Professionals &amp; Milbon Distributor Starter Stock list</t>
        </is>
      </c>
    </row>
    <row r="257">
      <c r="A257" t="inlineStr">
        <is>
          <t>Tainan</t>
        </is>
      </c>
      <c r="B257" t="inlineStr">
        <is>
          <t>Other CAPEX</t>
        </is>
      </c>
      <c r="C257" t="inlineStr">
        <is>
          <t>Professional Styling Tools (Dyson dryers, shears)</t>
        </is>
      </c>
      <c r="D257" t="n">
        <v>675</v>
      </c>
      <c r="E257" t="inlineStr">
        <is>
          <t>Dyson Professional Partner Pricing &amp; shears kit catalog</t>
        </is>
      </c>
    </row>
    <row r="258">
      <c r="A258" t="inlineStr">
        <is>
          <t>Tainan</t>
        </is>
      </c>
      <c r="B258" t="inlineStr">
        <is>
          <t>Other CAPEX</t>
        </is>
      </c>
      <c r="C258" t="inlineStr">
        <is>
          <t>Retail Product Initial Stock (Oribe, Kérastase)</t>
        </is>
      </c>
      <c r="D258" t="n">
        <v>675</v>
      </c>
      <c r="E258" t="inlineStr">
        <is>
          <t>Oribe &amp; Kérastase B2B opening inventory order guidelines</t>
        </is>
      </c>
    </row>
    <row r="259">
      <c r="A259" t="inlineStr">
        <is>
          <t>Tainan</t>
        </is>
      </c>
      <c r="B259" t="inlineStr">
        <is>
          <t>Deposit</t>
        </is>
      </c>
      <c r="C259" t="inlineStr">
        <is>
          <t>Commercial Landlord Security Deposit (3 months)</t>
        </is>
      </c>
      <c r="D259" t="n">
        <v>4500</v>
      </c>
      <c r="E259" t="inlineStr">
        <is>
          <t>Standard commercial landlord lease terms for prime retail</t>
        </is>
      </c>
    </row>
    <row r="260">
      <c r="A260" t="inlineStr">
        <is>
          <t>Tainan</t>
        </is>
      </c>
      <c r="B260" t="inlineStr">
        <is>
          <t>Biz Reg</t>
        </is>
      </c>
      <c r="C260" t="inlineStr">
        <is>
          <t>Company Incorporation &amp; Legal Registrations</t>
        </is>
      </c>
      <c r="D260" t="n">
        <v>3300</v>
      </c>
      <c r="E260" t="inlineStr">
        <is>
          <t>Local Companies Registry &amp; foreign entity setup filing fees</t>
        </is>
      </c>
    </row>
    <row r="261">
      <c r="A261" t="inlineStr">
        <is>
          <t>Tainan</t>
        </is>
      </c>
      <c r="B261" t="inlineStr">
        <is>
          <t>Biz Reg</t>
        </is>
      </c>
      <c r="C261" t="inlineStr">
        <is>
          <t>Annual Resident Agent &amp; Secretary Retainer</t>
        </is>
      </c>
      <c r="D261" t="n">
        <v>2200</v>
      </c>
      <c r="E261" t="inlineStr">
        <is>
          <t>Local corporate services provider standard annual pricing</t>
        </is>
      </c>
    </row>
    <row r="262">
      <c r="A262" t="inlineStr">
        <is>
          <t>Fukuoka</t>
        </is>
      </c>
      <c r="B262" t="inlineStr">
        <is>
          <t>Fitout</t>
        </is>
      </c>
      <c r="C262" t="inlineStr">
        <is>
          <t>Interior Renovation &amp; Drywall Partitioning</t>
        </is>
      </c>
      <c r="D262" t="n">
        <v>40200</v>
      </c>
      <c r="E262" t="inlineStr">
        <is>
          <t>Local contractor labor and material cost estimates</t>
        </is>
      </c>
    </row>
    <row r="263">
      <c r="A263" t="inlineStr">
        <is>
          <t>Fukuoka</t>
        </is>
      </c>
      <c r="B263" t="inlineStr">
        <is>
          <t>Fitout</t>
        </is>
      </c>
      <c r="C263" t="inlineStr">
        <is>
          <t>Custom Joinery (Vanity units, retail shelving)</t>
        </is>
      </c>
      <c r="D263" t="n">
        <v>30150</v>
      </c>
      <c r="E263" t="inlineStr">
        <is>
          <t>Custom carpenter fabrication quotes for salon styling stations</t>
        </is>
      </c>
    </row>
    <row r="264">
      <c r="A264" t="inlineStr">
        <is>
          <t>Fukuoka</t>
        </is>
      </c>
      <c r="B264" t="inlineStr">
        <is>
          <t>Fitout</t>
        </is>
      </c>
      <c r="C264" t="inlineStr">
        <is>
          <t>Lighting &amp; Electrical Installations (High-CRI)</t>
        </is>
      </c>
      <c r="D264" t="n">
        <v>15075</v>
      </c>
      <c r="E264" t="inlineStr">
        <is>
          <t>Track lighting, wiring, and power outlet distribution quotes</t>
        </is>
      </c>
    </row>
    <row r="265">
      <c r="A265" t="inlineStr">
        <is>
          <t>Fukuoka</t>
        </is>
      </c>
      <c r="B265" t="inlineStr">
        <is>
          <t>Fitout</t>
        </is>
      </c>
      <c r="C265" t="inlineStr">
        <is>
          <t>Flooring &amp; Ceiling Works</t>
        </is>
      </c>
      <c r="D265" t="n">
        <v>15075</v>
      </c>
      <c r="E265" t="inlineStr">
        <is>
          <t>Acoustic ceiling tiling and water-resistant wood/tile flooring quotes</t>
        </is>
      </c>
    </row>
    <row r="266">
      <c r="A266" t="inlineStr">
        <is>
          <t>Fukuoka</t>
        </is>
      </c>
      <c r="B266" t="inlineStr">
        <is>
          <t>Equipment</t>
        </is>
      </c>
      <c r="C266" t="inlineStr">
        <is>
          <t>Takara Belmont Styling Chairs (4 units)</t>
        </is>
      </c>
      <c r="D266" t="n">
        <v>8000</v>
      </c>
      <c r="E266" t="inlineStr">
        <is>
          <t>Takara Belmont B2B Pricing Catalog (Premium Series)</t>
        </is>
      </c>
    </row>
    <row r="267">
      <c r="A267" t="inlineStr">
        <is>
          <t>Fukuoka</t>
        </is>
      </c>
      <c r="B267" t="inlineStr">
        <is>
          <t>Equipment</t>
        </is>
      </c>
      <c r="C267" t="inlineStr">
        <is>
          <t>Takara Belmont Backwash Wash Basins (2 units)</t>
        </is>
      </c>
      <c r="D267" t="n">
        <v>7000</v>
      </c>
      <c r="E267" t="inlineStr">
        <is>
          <t>Takara Belmont Wash Systems Catalog 2025</t>
        </is>
      </c>
    </row>
    <row r="268">
      <c r="A268" t="inlineStr">
        <is>
          <t>Fukuoka</t>
        </is>
      </c>
      <c r="B268" t="inlineStr">
        <is>
          <t>Equipment</t>
        </is>
      </c>
      <c r="C268" t="inlineStr">
        <is>
          <t>Water Softening &amp; Multi-Stage Filtration System</t>
        </is>
      </c>
      <c r="D268" t="n">
        <v>5000</v>
      </c>
      <c r="E268" t="inlineStr">
        <is>
          <t>Commercial RO system specifications and installation quote</t>
        </is>
      </c>
    </row>
    <row r="269">
      <c r="A269" t="inlineStr">
        <is>
          <t>Fukuoka</t>
        </is>
      </c>
      <c r="B269" t="inlineStr">
        <is>
          <t>Other CAPEX</t>
        </is>
      </c>
      <c r="C269" t="inlineStr">
        <is>
          <t>Initial Color &amp; Chemical Inventory (Stock)</t>
        </is>
      </c>
      <c r="D269" t="n">
        <v>2400</v>
      </c>
      <c r="E269" t="inlineStr">
        <is>
          <t>Wella Professionals &amp; Milbon Distributor Starter Stock list</t>
        </is>
      </c>
    </row>
    <row r="270">
      <c r="A270" t="inlineStr">
        <is>
          <t>Fukuoka</t>
        </is>
      </c>
      <c r="B270" t="inlineStr">
        <is>
          <t>Other CAPEX</t>
        </is>
      </c>
      <c r="C270" t="inlineStr">
        <is>
          <t>Professional Styling Tools (Dyson dryers, shears)</t>
        </is>
      </c>
      <c r="D270" t="n">
        <v>1200</v>
      </c>
      <c r="E270" t="inlineStr">
        <is>
          <t>Dyson Professional Partner Pricing &amp; shears kit catalog</t>
        </is>
      </c>
    </row>
    <row r="271">
      <c r="A271" t="inlineStr">
        <is>
          <t>Fukuoka</t>
        </is>
      </c>
      <c r="B271" t="inlineStr">
        <is>
          <t>Other CAPEX</t>
        </is>
      </c>
      <c r="C271" t="inlineStr">
        <is>
          <t>Retail Product Initial Stock (Oribe, Kérastase)</t>
        </is>
      </c>
      <c r="D271" t="n">
        <v>1200</v>
      </c>
      <c r="E271" t="inlineStr">
        <is>
          <t>Oribe &amp; Kérastase B2B opening inventory order guidelines</t>
        </is>
      </c>
    </row>
    <row r="272">
      <c r="A272" t="inlineStr">
        <is>
          <t>Fukuoka</t>
        </is>
      </c>
      <c r="B272" t="inlineStr">
        <is>
          <t>Deposit</t>
        </is>
      </c>
      <c r="C272" t="inlineStr">
        <is>
          <t>Commercial Landlord Security Deposit (3 months)</t>
        </is>
      </c>
      <c r="D272" t="n">
        <v>4800</v>
      </c>
      <c r="E272" t="inlineStr">
        <is>
          <t>Standard commercial landlord lease terms for prime retail</t>
        </is>
      </c>
    </row>
    <row r="273">
      <c r="A273" t="inlineStr">
        <is>
          <t>Fukuoka</t>
        </is>
      </c>
      <c r="B273" t="inlineStr">
        <is>
          <t>Biz Reg</t>
        </is>
      </c>
      <c r="C273" t="inlineStr">
        <is>
          <t>Company Incorporation &amp; Legal Registrations</t>
        </is>
      </c>
      <c r="D273" t="n">
        <v>4500</v>
      </c>
      <c r="E273" t="inlineStr">
        <is>
          <t>Local Companies Registry &amp; foreign entity setup filing fees</t>
        </is>
      </c>
    </row>
    <row r="274">
      <c r="A274" t="inlineStr">
        <is>
          <t>Fukuoka</t>
        </is>
      </c>
      <c r="B274" t="inlineStr">
        <is>
          <t>Biz Reg</t>
        </is>
      </c>
      <c r="C274" t="inlineStr">
        <is>
          <t>Annual Resident Agent &amp; Secretary Retainer</t>
        </is>
      </c>
      <c r="D274" t="n">
        <v>3000</v>
      </c>
      <c r="E274" t="inlineStr">
        <is>
          <t>Local corporate services provider standard annual pricing</t>
        </is>
      </c>
    </row>
    <row r="275">
      <c r="A275" t="inlineStr">
        <is>
          <t>Okinawa</t>
        </is>
      </c>
      <c r="B275" t="inlineStr">
        <is>
          <t>Fitout</t>
        </is>
      </c>
      <c r="C275" t="inlineStr">
        <is>
          <t>Interior Renovation &amp; Drywall Partitioning</t>
        </is>
      </c>
      <c r="D275" t="n">
        <v>32160</v>
      </c>
      <c r="E275" t="inlineStr">
        <is>
          <t>Local contractor labor and material cost estimates</t>
        </is>
      </c>
    </row>
    <row r="276">
      <c r="A276" t="inlineStr">
        <is>
          <t>Okinawa</t>
        </is>
      </c>
      <c r="B276" t="inlineStr">
        <is>
          <t>Fitout</t>
        </is>
      </c>
      <c r="C276" t="inlineStr">
        <is>
          <t>Custom Joinery (Vanity units, retail shelving)</t>
        </is>
      </c>
      <c r="D276" t="n">
        <v>24120</v>
      </c>
      <c r="E276" t="inlineStr">
        <is>
          <t>Custom carpenter fabrication quotes for salon styling stations</t>
        </is>
      </c>
    </row>
    <row r="277">
      <c r="A277" t="inlineStr">
        <is>
          <t>Okinawa</t>
        </is>
      </c>
      <c r="B277" t="inlineStr">
        <is>
          <t>Fitout</t>
        </is>
      </c>
      <c r="C277" t="inlineStr">
        <is>
          <t>Lighting &amp; Electrical Installations (High-CRI)</t>
        </is>
      </c>
      <c r="D277" t="n">
        <v>12060</v>
      </c>
      <c r="E277" t="inlineStr">
        <is>
          <t>Track lighting, wiring, and power outlet distribution quotes</t>
        </is>
      </c>
    </row>
    <row r="278">
      <c r="A278" t="inlineStr">
        <is>
          <t>Okinawa</t>
        </is>
      </c>
      <c r="B278" t="inlineStr">
        <is>
          <t>Fitout</t>
        </is>
      </c>
      <c r="C278" t="inlineStr">
        <is>
          <t>Flooring &amp; Ceiling Works</t>
        </is>
      </c>
      <c r="D278" t="n">
        <v>12060</v>
      </c>
      <c r="E278" t="inlineStr">
        <is>
          <t>Acoustic ceiling tiling and water-resistant wood/tile flooring quotes</t>
        </is>
      </c>
    </row>
    <row r="279">
      <c r="A279" t="inlineStr">
        <is>
          <t>Okinawa</t>
        </is>
      </c>
      <c r="B279" t="inlineStr">
        <is>
          <t>Equipment</t>
        </is>
      </c>
      <c r="C279" t="inlineStr">
        <is>
          <t>Takara Belmont Styling Chairs (4 units)</t>
        </is>
      </c>
      <c r="D279" t="n">
        <v>7200</v>
      </c>
      <c r="E279" t="inlineStr">
        <is>
          <t>Takara Belmont B2B Pricing Catalog (Premium Series)</t>
        </is>
      </c>
    </row>
    <row r="280">
      <c r="A280" t="inlineStr">
        <is>
          <t>Okinawa</t>
        </is>
      </c>
      <c r="B280" t="inlineStr">
        <is>
          <t>Equipment</t>
        </is>
      </c>
      <c r="C280" t="inlineStr">
        <is>
          <t>Takara Belmont Backwash Wash Basins (2 units)</t>
        </is>
      </c>
      <c r="D280" t="n">
        <v>6300</v>
      </c>
      <c r="E280" t="inlineStr">
        <is>
          <t>Takara Belmont Wash Systems Catalog 2025</t>
        </is>
      </c>
    </row>
    <row r="281">
      <c r="A281" t="inlineStr">
        <is>
          <t>Okinawa</t>
        </is>
      </c>
      <c r="B281" t="inlineStr">
        <is>
          <t>Equipment</t>
        </is>
      </c>
      <c r="C281" t="inlineStr">
        <is>
          <t>Water Softening &amp; Multi-Stage Filtration System</t>
        </is>
      </c>
      <c r="D281" t="n">
        <v>4500</v>
      </c>
      <c r="E281" t="inlineStr">
        <is>
          <t>Commercial RO system specifications and installation quote</t>
        </is>
      </c>
    </row>
    <row r="282">
      <c r="A282" t="inlineStr">
        <is>
          <t>Okinawa</t>
        </is>
      </c>
      <c r="B282" t="inlineStr">
        <is>
          <t>Other CAPEX</t>
        </is>
      </c>
      <c r="C282" t="inlineStr">
        <is>
          <t>Initial Color &amp; Chemical Inventory (Stock)</t>
        </is>
      </c>
      <c r="D282" t="n">
        <v>1650</v>
      </c>
      <c r="E282" t="inlineStr">
        <is>
          <t>Wella Professionals &amp; Milbon Distributor Starter Stock list</t>
        </is>
      </c>
    </row>
    <row r="283">
      <c r="A283" t="inlineStr">
        <is>
          <t>Okinawa</t>
        </is>
      </c>
      <c r="B283" t="inlineStr">
        <is>
          <t>Other CAPEX</t>
        </is>
      </c>
      <c r="C283" t="inlineStr">
        <is>
          <t>Professional Styling Tools (Dyson dryers, shears)</t>
        </is>
      </c>
      <c r="D283" t="n">
        <v>825</v>
      </c>
      <c r="E283" t="inlineStr">
        <is>
          <t>Dyson Professional Partner Pricing &amp; shears kit catalog</t>
        </is>
      </c>
    </row>
    <row r="284">
      <c r="A284" t="inlineStr">
        <is>
          <t>Okinawa</t>
        </is>
      </c>
      <c r="B284" t="inlineStr">
        <is>
          <t>Other CAPEX</t>
        </is>
      </c>
      <c r="C284" t="inlineStr">
        <is>
          <t>Retail Product Initial Stock (Oribe, Kérastase)</t>
        </is>
      </c>
      <c r="D284" t="n">
        <v>825</v>
      </c>
      <c r="E284" t="inlineStr">
        <is>
          <t>Oribe &amp; Kérastase B2B opening inventory order guidelines</t>
        </is>
      </c>
    </row>
    <row r="285">
      <c r="A285" t="inlineStr">
        <is>
          <t>Okinawa</t>
        </is>
      </c>
      <c r="B285" t="inlineStr">
        <is>
          <t>Deposit</t>
        </is>
      </c>
      <c r="C285" t="inlineStr">
        <is>
          <t>Commercial Landlord Security Deposit (3 months)</t>
        </is>
      </c>
      <c r="D285" t="n">
        <v>3300</v>
      </c>
      <c r="E285" t="inlineStr">
        <is>
          <t>Standard commercial landlord lease terms for prime retail</t>
        </is>
      </c>
    </row>
    <row r="286">
      <c r="A286" t="inlineStr">
        <is>
          <t>Okinawa</t>
        </is>
      </c>
      <c r="B286" t="inlineStr">
        <is>
          <t>Biz Reg</t>
        </is>
      </c>
      <c r="C286" t="inlineStr">
        <is>
          <t>Company Incorporation &amp; Legal Registrations</t>
        </is>
      </c>
      <c r="D286" t="n">
        <v>4500</v>
      </c>
      <c r="E286" t="inlineStr">
        <is>
          <t>Local Companies Registry &amp; foreign entity setup filing fees</t>
        </is>
      </c>
    </row>
    <row r="287">
      <c r="A287" t="inlineStr">
        <is>
          <t>Okinawa</t>
        </is>
      </c>
      <c r="B287" t="inlineStr">
        <is>
          <t>Biz Reg</t>
        </is>
      </c>
      <c r="C287" t="inlineStr">
        <is>
          <t>Annual Resident Agent &amp; Secretary Retainer</t>
        </is>
      </c>
      <c r="D287" t="n">
        <v>3000</v>
      </c>
      <c r="E287" t="inlineStr">
        <is>
          <t>Local corporate services provider standard annual pricing</t>
        </is>
      </c>
    </row>
    <row r="288">
      <c r="A288" t="inlineStr">
        <is>
          <t>Busan</t>
        </is>
      </c>
      <c r="B288" t="inlineStr">
        <is>
          <t>Fitout</t>
        </is>
      </c>
      <c r="C288" t="inlineStr">
        <is>
          <t>Interior Renovation &amp; Drywall Partitioning</t>
        </is>
      </c>
      <c r="D288" t="n">
        <v>23360</v>
      </c>
      <c r="E288" t="inlineStr">
        <is>
          <t>Local contractor labor and material cost estimates</t>
        </is>
      </c>
    </row>
    <row r="289">
      <c r="A289" t="inlineStr">
        <is>
          <t>Busan</t>
        </is>
      </c>
      <c r="B289" t="inlineStr">
        <is>
          <t>Fitout</t>
        </is>
      </c>
      <c r="C289" t="inlineStr">
        <is>
          <t>Custom Joinery (Vanity units, retail shelving)</t>
        </is>
      </c>
      <c r="D289" t="n">
        <v>17520</v>
      </c>
      <c r="E289" t="inlineStr">
        <is>
          <t>Custom carpenter fabrication quotes for salon styling stations</t>
        </is>
      </c>
    </row>
    <row r="290">
      <c r="A290" t="inlineStr">
        <is>
          <t>Busan</t>
        </is>
      </c>
      <c r="B290" t="inlineStr">
        <is>
          <t>Fitout</t>
        </is>
      </c>
      <c r="C290" t="inlineStr">
        <is>
          <t>Lighting &amp; Electrical Installations (High-CRI)</t>
        </is>
      </c>
      <c r="D290" t="n">
        <v>8760</v>
      </c>
      <c r="E290" t="inlineStr">
        <is>
          <t>Track lighting, wiring, and power outlet distribution quotes</t>
        </is>
      </c>
    </row>
    <row r="291">
      <c r="A291" t="inlineStr">
        <is>
          <t>Busan</t>
        </is>
      </c>
      <c r="B291" t="inlineStr">
        <is>
          <t>Fitout</t>
        </is>
      </c>
      <c r="C291" t="inlineStr">
        <is>
          <t>Flooring &amp; Ceiling Works</t>
        </is>
      </c>
      <c r="D291" t="n">
        <v>8760</v>
      </c>
      <c r="E291" t="inlineStr">
        <is>
          <t>Acoustic ceiling tiling and water-resistant wood/tile flooring quotes</t>
        </is>
      </c>
    </row>
    <row r="292">
      <c r="A292" t="inlineStr">
        <is>
          <t>Busan</t>
        </is>
      </c>
      <c r="B292" t="inlineStr">
        <is>
          <t>Equipment</t>
        </is>
      </c>
      <c r="C292" t="inlineStr">
        <is>
          <t>Takara Belmont Styling Chairs (4 units)</t>
        </is>
      </c>
      <c r="D292" t="n">
        <v>7200</v>
      </c>
      <c r="E292" t="inlineStr">
        <is>
          <t>Takara Belmont B2B Pricing Catalog (Premium Series)</t>
        </is>
      </c>
    </row>
    <row r="293">
      <c r="A293" t="inlineStr">
        <is>
          <t>Busan</t>
        </is>
      </c>
      <c r="B293" t="inlineStr">
        <is>
          <t>Equipment</t>
        </is>
      </c>
      <c r="C293" t="inlineStr">
        <is>
          <t>Takara Belmont Backwash Wash Basins (2 units)</t>
        </is>
      </c>
      <c r="D293" t="n">
        <v>6300</v>
      </c>
      <c r="E293" t="inlineStr">
        <is>
          <t>Takara Belmont Wash Systems Catalog 2025</t>
        </is>
      </c>
    </row>
    <row r="294">
      <c r="A294" t="inlineStr">
        <is>
          <t>Busan</t>
        </is>
      </c>
      <c r="B294" t="inlineStr">
        <is>
          <t>Equipment</t>
        </is>
      </c>
      <c r="C294" t="inlineStr">
        <is>
          <t>Water Softening &amp; Multi-Stage Filtration System</t>
        </is>
      </c>
      <c r="D294" t="n">
        <v>4500</v>
      </c>
      <c r="E294" t="inlineStr">
        <is>
          <t>Commercial RO system specifications and installation quote</t>
        </is>
      </c>
    </row>
    <row r="295">
      <c r="A295" t="inlineStr">
        <is>
          <t>Busan</t>
        </is>
      </c>
      <c r="B295" t="inlineStr">
        <is>
          <t>Other CAPEX</t>
        </is>
      </c>
      <c r="C295" t="inlineStr">
        <is>
          <t>Initial Color &amp; Chemical Inventory (Stock)</t>
        </is>
      </c>
      <c r="D295" t="n">
        <v>3300</v>
      </c>
      <c r="E295" t="inlineStr">
        <is>
          <t>Wella Professionals &amp; Milbon Distributor Starter Stock list</t>
        </is>
      </c>
    </row>
    <row r="296">
      <c r="A296" t="inlineStr">
        <is>
          <t>Busan</t>
        </is>
      </c>
      <c r="B296" t="inlineStr">
        <is>
          <t>Other CAPEX</t>
        </is>
      </c>
      <c r="C296" t="inlineStr">
        <is>
          <t>Professional Styling Tools (Dyson dryers, shears)</t>
        </is>
      </c>
      <c r="D296" t="n">
        <v>1650</v>
      </c>
      <c r="E296" t="inlineStr">
        <is>
          <t>Dyson Professional Partner Pricing &amp; shears kit catalog</t>
        </is>
      </c>
    </row>
    <row r="297">
      <c r="A297" t="inlineStr">
        <is>
          <t>Busan</t>
        </is>
      </c>
      <c r="B297" t="inlineStr">
        <is>
          <t>Other CAPEX</t>
        </is>
      </c>
      <c r="C297" t="inlineStr">
        <is>
          <t>Retail Product Initial Stock (Oribe, Kérastase)</t>
        </is>
      </c>
      <c r="D297" t="n">
        <v>1650</v>
      </c>
      <c r="E297" t="inlineStr">
        <is>
          <t>Oribe &amp; Kérastase B2B opening inventory order guidelines</t>
        </is>
      </c>
    </row>
    <row r="298">
      <c r="A298" t="inlineStr">
        <is>
          <t>Busan</t>
        </is>
      </c>
      <c r="B298" t="inlineStr">
        <is>
          <t>Deposit</t>
        </is>
      </c>
      <c r="C298" t="inlineStr">
        <is>
          <t>Commercial Landlord Security Deposit (3 months)</t>
        </is>
      </c>
      <c r="D298" t="n">
        <v>6600</v>
      </c>
      <c r="E298" t="inlineStr">
        <is>
          <t>Standard commercial landlord lease terms for prime retail</t>
        </is>
      </c>
    </row>
    <row r="299">
      <c r="A299" t="inlineStr">
        <is>
          <t>Busan</t>
        </is>
      </c>
      <c r="B299" t="inlineStr">
        <is>
          <t>Biz Reg</t>
        </is>
      </c>
      <c r="C299" t="inlineStr">
        <is>
          <t>Company Incorporation &amp; Legal Registrations</t>
        </is>
      </c>
      <c r="D299" t="n">
        <v>3600</v>
      </c>
      <c r="E299" t="inlineStr">
        <is>
          <t>Local Companies Registry &amp; foreign entity setup filing fees</t>
        </is>
      </c>
    </row>
    <row r="300">
      <c r="A300" t="inlineStr">
        <is>
          <t>Busan</t>
        </is>
      </c>
      <c r="B300" t="inlineStr">
        <is>
          <t>Biz Reg</t>
        </is>
      </c>
      <c r="C300" t="inlineStr">
        <is>
          <t>Annual Resident Agent &amp; Secretary Retainer</t>
        </is>
      </c>
      <c r="D300" t="n">
        <v>2400</v>
      </c>
      <c r="E300" t="inlineStr">
        <is>
          <t>Local corporate services provider standard annual pricing</t>
        </is>
      </c>
    </row>
    <row r="301">
      <c r="A301" t="inlineStr">
        <is>
          <t>Sydney</t>
        </is>
      </c>
      <c r="B301" t="inlineStr">
        <is>
          <t>Fitout</t>
        </is>
      </c>
      <c r="C301" t="inlineStr">
        <is>
          <t>Interior Renovation &amp; Drywall Partitioning</t>
        </is>
      </c>
      <c r="D301" t="n">
        <v>36400</v>
      </c>
      <c r="E301" t="inlineStr">
        <is>
          <t>Local contractor labor and material cost estimates</t>
        </is>
      </c>
    </row>
    <row r="302">
      <c r="A302" t="inlineStr">
        <is>
          <t>Sydney</t>
        </is>
      </c>
      <c r="B302" t="inlineStr">
        <is>
          <t>Fitout</t>
        </is>
      </c>
      <c r="C302" t="inlineStr">
        <is>
          <t>Custom Joinery (Vanity units, retail shelving)</t>
        </is>
      </c>
      <c r="D302" t="n">
        <v>27300</v>
      </c>
      <c r="E302" t="inlineStr">
        <is>
          <t>Custom carpenter fabrication quotes for salon styling stations</t>
        </is>
      </c>
    </row>
    <row r="303">
      <c r="A303" t="inlineStr">
        <is>
          <t>Sydney</t>
        </is>
      </c>
      <c r="B303" t="inlineStr">
        <is>
          <t>Fitout</t>
        </is>
      </c>
      <c r="C303" t="inlineStr">
        <is>
          <t>Lighting &amp; Electrical Installations (High-CRI)</t>
        </is>
      </c>
      <c r="D303" t="n">
        <v>13650</v>
      </c>
      <c r="E303" t="inlineStr">
        <is>
          <t>Track lighting, wiring, and power outlet distribution quotes</t>
        </is>
      </c>
    </row>
    <row r="304">
      <c r="A304" t="inlineStr">
        <is>
          <t>Sydney</t>
        </is>
      </c>
      <c r="B304" t="inlineStr">
        <is>
          <t>Fitout</t>
        </is>
      </c>
      <c r="C304" t="inlineStr">
        <is>
          <t>Flooring &amp; Ceiling Works</t>
        </is>
      </c>
      <c r="D304" t="n">
        <v>13650</v>
      </c>
      <c r="E304" t="inlineStr">
        <is>
          <t>Acoustic ceiling tiling and water-resistant wood/tile flooring quotes</t>
        </is>
      </c>
    </row>
    <row r="305">
      <c r="A305" t="inlineStr">
        <is>
          <t>Sydney</t>
        </is>
      </c>
      <c r="B305" t="inlineStr">
        <is>
          <t>Equipment</t>
        </is>
      </c>
      <c r="C305" t="inlineStr">
        <is>
          <t>Takara Belmont Styling Chairs (4 units)</t>
        </is>
      </c>
      <c r="D305" t="n">
        <v>8800</v>
      </c>
      <c r="E305" t="inlineStr">
        <is>
          <t>Takara Belmont B2B Pricing Catalog (Premium Series)</t>
        </is>
      </c>
    </row>
    <row r="306">
      <c r="A306" t="inlineStr">
        <is>
          <t>Sydney</t>
        </is>
      </c>
      <c r="B306" t="inlineStr">
        <is>
          <t>Equipment</t>
        </is>
      </c>
      <c r="C306" t="inlineStr">
        <is>
          <t>Takara Belmont Backwash Wash Basins (2 units)</t>
        </is>
      </c>
      <c r="D306" t="n">
        <v>7700</v>
      </c>
      <c r="E306" t="inlineStr">
        <is>
          <t>Takara Belmont Wash Systems Catalog 2025</t>
        </is>
      </c>
    </row>
    <row r="307">
      <c r="A307" t="inlineStr">
        <is>
          <t>Sydney</t>
        </is>
      </c>
      <c r="B307" t="inlineStr">
        <is>
          <t>Equipment</t>
        </is>
      </c>
      <c r="C307" t="inlineStr">
        <is>
          <t>Water Softening &amp; Multi-Stage Filtration System</t>
        </is>
      </c>
      <c r="D307" t="n">
        <v>5500</v>
      </c>
      <c r="E307" t="inlineStr">
        <is>
          <t>Commercial RO system specifications and installation quote</t>
        </is>
      </c>
    </row>
    <row r="308">
      <c r="A308" t="inlineStr">
        <is>
          <t>Sydney</t>
        </is>
      </c>
      <c r="B308" t="inlineStr">
        <is>
          <t>Other CAPEX</t>
        </is>
      </c>
      <c r="C308" t="inlineStr">
        <is>
          <t>Initial Color &amp; Chemical Inventory (Stock)</t>
        </is>
      </c>
      <c r="D308" t="n">
        <v>4800</v>
      </c>
      <c r="E308" t="inlineStr">
        <is>
          <t>Wella Professionals &amp; Milbon Distributor Starter Stock list</t>
        </is>
      </c>
    </row>
    <row r="309">
      <c r="A309" t="inlineStr">
        <is>
          <t>Sydney</t>
        </is>
      </c>
      <c r="B309" t="inlineStr">
        <is>
          <t>Other CAPEX</t>
        </is>
      </c>
      <c r="C309" t="inlineStr">
        <is>
          <t>Professional Styling Tools (Dyson dryers, shears)</t>
        </is>
      </c>
      <c r="D309" t="n">
        <v>2400</v>
      </c>
      <c r="E309" t="inlineStr">
        <is>
          <t>Dyson Professional Partner Pricing &amp; shears kit catalog</t>
        </is>
      </c>
    </row>
    <row r="310">
      <c r="A310" t="inlineStr">
        <is>
          <t>Sydney</t>
        </is>
      </c>
      <c r="B310" t="inlineStr">
        <is>
          <t>Other CAPEX</t>
        </is>
      </c>
      <c r="C310" t="inlineStr">
        <is>
          <t>Retail Product Initial Stock (Oribe, Kérastase)</t>
        </is>
      </c>
      <c r="D310" t="n">
        <v>2400</v>
      </c>
      <c r="E310" t="inlineStr">
        <is>
          <t>Oribe &amp; Kérastase B2B opening inventory order guidelines</t>
        </is>
      </c>
    </row>
    <row r="311">
      <c r="A311" t="inlineStr">
        <is>
          <t>Sydney</t>
        </is>
      </c>
      <c r="B311" t="inlineStr">
        <is>
          <t>Deposit</t>
        </is>
      </c>
      <c r="C311" t="inlineStr">
        <is>
          <t>Commercial Landlord Security Deposit (3 months)</t>
        </is>
      </c>
      <c r="D311" t="n">
        <v>9600</v>
      </c>
      <c r="E311" t="inlineStr">
        <is>
          <t>Standard commercial landlord lease terms for prime retail</t>
        </is>
      </c>
    </row>
    <row r="312">
      <c r="A312" t="inlineStr">
        <is>
          <t>Sydney</t>
        </is>
      </c>
      <c r="B312" t="inlineStr">
        <is>
          <t>Biz Reg</t>
        </is>
      </c>
      <c r="C312" t="inlineStr">
        <is>
          <t>Company Incorporation &amp; Legal Registrations</t>
        </is>
      </c>
      <c r="D312" t="n">
        <v>2700</v>
      </c>
      <c r="E312" t="inlineStr">
        <is>
          <t>Local Companies Registry &amp; foreign entity setup filing fees</t>
        </is>
      </c>
    </row>
    <row r="313">
      <c r="A313" t="inlineStr">
        <is>
          <t>Sydney</t>
        </is>
      </c>
      <c r="B313" t="inlineStr">
        <is>
          <t>Biz Reg</t>
        </is>
      </c>
      <c r="C313" t="inlineStr">
        <is>
          <t>Annual Resident Agent &amp; Secretary Retainer</t>
        </is>
      </c>
      <c r="D313" t="n">
        <v>1800</v>
      </c>
      <c r="E313" t="inlineStr">
        <is>
          <t>Local corporate services provider standard annual pricing</t>
        </is>
      </c>
    </row>
    <row r="314">
      <c r="A314" t="inlineStr">
        <is>
          <t>Melbourne</t>
        </is>
      </c>
      <c r="B314" t="inlineStr">
        <is>
          <t>Fitout</t>
        </is>
      </c>
      <c r="C314" t="inlineStr">
        <is>
          <t>Interior Renovation &amp; Drywall Partitioning</t>
        </is>
      </c>
      <c r="D314" t="n">
        <v>35100</v>
      </c>
      <c r="E314" t="inlineStr">
        <is>
          <t>Local contractor labor and material cost estimates</t>
        </is>
      </c>
    </row>
    <row r="315">
      <c r="A315" t="inlineStr">
        <is>
          <t>Melbourne</t>
        </is>
      </c>
      <c r="B315" t="inlineStr">
        <is>
          <t>Fitout</t>
        </is>
      </c>
      <c r="C315" t="inlineStr">
        <is>
          <t>Custom Joinery (Vanity units, retail shelving)</t>
        </is>
      </c>
      <c r="D315" t="n">
        <v>26325</v>
      </c>
      <c r="E315" t="inlineStr">
        <is>
          <t>Custom carpenter fabrication quotes for salon styling stations</t>
        </is>
      </c>
    </row>
    <row r="316">
      <c r="A316" t="inlineStr">
        <is>
          <t>Melbourne</t>
        </is>
      </c>
      <c r="B316" t="inlineStr">
        <is>
          <t>Fitout</t>
        </is>
      </c>
      <c r="C316" t="inlineStr">
        <is>
          <t>Lighting &amp; Electrical Installations (High-CRI)</t>
        </is>
      </c>
      <c r="D316" t="n">
        <v>13162</v>
      </c>
      <c r="E316" t="inlineStr">
        <is>
          <t>Track lighting, wiring, and power outlet distribution quotes</t>
        </is>
      </c>
    </row>
    <row r="317">
      <c r="A317" t="inlineStr">
        <is>
          <t>Melbourne</t>
        </is>
      </c>
      <c r="B317" t="inlineStr">
        <is>
          <t>Fitout</t>
        </is>
      </c>
      <c r="C317" t="inlineStr">
        <is>
          <t>Flooring &amp; Ceiling Works</t>
        </is>
      </c>
      <c r="D317" t="n">
        <v>13162</v>
      </c>
      <c r="E317" t="inlineStr">
        <is>
          <t>Acoustic ceiling tiling and water-resistant wood/tile flooring quotes</t>
        </is>
      </c>
    </row>
    <row r="318">
      <c r="A318" t="inlineStr">
        <is>
          <t>Melbourne</t>
        </is>
      </c>
      <c r="B318" t="inlineStr">
        <is>
          <t>Equipment</t>
        </is>
      </c>
      <c r="C318" t="inlineStr">
        <is>
          <t>Takara Belmont Styling Chairs (4 units)</t>
        </is>
      </c>
      <c r="D318" t="n">
        <v>8800</v>
      </c>
      <c r="E318" t="inlineStr">
        <is>
          <t>Takara Belmont B2B Pricing Catalog (Premium Series)</t>
        </is>
      </c>
    </row>
    <row r="319">
      <c r="A319" t="inlineStr">
        <is>
          <t>Melbourne</t>
        </is>
      </c>
      <c r="B319" t="inlineStr">
        <is>
          <t>Equipment</t>
        </is>
      </c>
      <c r="C319" t="inlineStr">
        <is>
          <t>Takara Belmont Backwash Wash Basins (2 units)</t>
        </is>
      </c>
      <c r="D319" t="n">
        <v>7700</v>
      </c>
      <c r="E319" t="inlineStr">
        <is>
          <t>Takara Belmont Wash Systems Catalog 2025</t>
        </is>
      </c>
    </row>
    <row r="320">
      <c r="A320" t="inlineStr">
        <is>
          <t>Melbourne</t>
        </is>
      </c>
      <c r="B320" t="inlineStr">
        <is>
          <t>Equipment</t>
        </is>
      </c>
      <c r="C320" t="inlineStr">
        <is>
          <t>Water Softening &amp; Multi-Stage Filtration System</t>
        </is>
      </c>
      <c r="D320" t="n">
        <v>5500</v>
      </c>
      <c r="E320" t="inlineStr">
        <is>
          <t>Commercial RO system specifications and installation quote</t>
        </is>
      </c>
    </row>
    <row r="321">
      <c r="A321" t="inlineStr">
        <is>
          <t>Melbourne</t>
        </is>
      </c>
      <c r="B321" t="inlineStr">
        <is>
          <t>Other CAPEX</t>
        </is>
      </c>
      <c r="C321" t="inlineStr">
        <is>
          <t>Initial Color &amp; Chemical Inventory (Stock)</t>
        </is>
      </c>
      <c r="D321" t="n">
        <v>5250</v>
      </c>
      <c r="E321" t="inlineStr">
        <is>
          <t>Wella Professionals &amp; Milbon Distributor Starter Stock list</t>
        </is>
      </c>
    </row>
    <row r="322">
      <c r="A322" t="inlineStr">
        <is>
          <t>Melbourne</t>
        </is>
      </c>
      <c r="B322" t="inlineStr">
        <is>
          <t>Other CAPEX</t>
        </is>
      </c>
      <c r="C322" t="inlineStr">
        <is>
          <t>Professional Styling Tools (Dyson dryers, shears)</t>
        </is>
      </c>
      <c r="D322" t="n">
        <v>2625</v>
      </c>
      <c r="E322" t="inlineStr">
        <is>
          <t>Dyson Professional Partner Pricing &amp; shears kit catalog</t>
        </is>
      </c>
    </row>
    <row r="323">
      <c r="A323" t="inlineStr">
        <is>
          <t>Melbourne</t>
        </is>
      </c>
      <c r="B323" t="inlineStr">
        <is>
          <t>Other CAPEX</t>
        </is>
      </c>
      <c r="C323" t="inlineStr">
        <is>
          <t>Retail Product Initial Stock (Oribe, Kérastase)</t>
        </is>
      </c>
      <c r="D323" t="n">
        <v>2625</v>
      </c>
      <c r="E323" t="inlineStr">
        <is>
          <t>Oribe &amp; Kérastase B2B opening inventory order guidelines</t>
        </is>
      </c>
    </row>
    <row r="324">
      <c r="A324" t="inlineStr">
        <is>
          <t>Melbourne</t>
        </is>
      </c>
      <c r="B324" t="inlineStr">
        <is>
          <t>Deposit</t>
        </is>
      </c>
      <c r="C324" t="inlineStr">
        <is>
          <t>Commercial Landlord Security Deposit (3 months)</t>
        </is>
      </c>
      <c r="D324" t="n">
        <v>10500</v>
      </c>
      <c r="E324" t="inlineStr">
        <is>
          <t>Standard commercial landlord lease terms for prime retail</t>
        </is>
      </c>
    </row>
    <row r="325">
      <c r="A325" t="inlineStr">
        <is>
          <t>Melbourne</t>
        </is>
      </c>
      <c r="B325" t="inlineStr">
        <is>
          <t>Biz Reg</t>
        </is>
      </c>
      <c r="C325" t="inlineStr">
        <is>
          <t>Company Incorporation &amp; Legal Registrations</t>
        </is>
      </c>
      <c r="D325" t="n">
        <v>2700</v>
      </c>
      <c r="E325" t="inlineStr">
        <is>
          <t>Local Companies Registry &amp; foreign entity setup filing fees</t>
        </is>
      </c>
    </row>
    <row r="326">
      <c r="A326" t="inlineStr">
        <is>
          <t>Melbourne</t>
        </is>
      </c>
      <c r="B326" t="inlineStr">
        <is>
          <t>Biz Reg</t>
        </is>
      </c>
      <c r="C326" t="inlineStr">
        <is>
          <t>Annual Resident Agent &amp; Secretary Retainer</t>
        </is>
      </c>
      <c r="D326" t="n">
        <v>1800</v>
      </c>
      <c r="E326" t="inlineStr">
        <is>
          <t>Local corporate services provider standard annual pricing</t>
        </is>
      </c>
    </row>
    <row r="327">
      <c r="A327" t="inlineStr">
        <is>
          <t>Brisbane</t>
        </is>
      </c>
      <c r="B327" t="inlineStr">
        <is>
          <t>Fitout</t>
        </is>
      </c>
      <c r="C327" t="inlineStr">
        <is>
          <t>Interior Renovation &amp; Drywall Partitioning</t>
        </is>
      </c>
      <c r="D327" t="n">
        <v>31200</v>
      </c>
      <c r="E327" t="inlineStr">
        <is>
          <t>Local contractor labor and material cost estimates</t>
        </is>
      </c>
    </row>
    <row r="328">
      <c r="A328" t="inlineStr">
        <is>
          <t>Brisbane</t>
        </is>
      </c>
      <c r="B328" t="inlineStr">
        <is>
          <t>Fitout</t>
        </is>
      </c>
      <c r="C328" t="inlineStr">
        <is>
          <t>Custom Joinery (Vanity units, retail shelving)</t>
        </is>
      </c>
      <c r="D328" t="n">
        <v>23400</v>
      </c>
      <c r="E328" t="inlineStr">
        <is>
          <t>Custom carpenter fabrication quotes for salon styling stations</t>
        </is>
      </c>
    </row>
    <row r="329">
      <c r="A329" t="inlineStr">
        <is>
          <t>Brisbane</t>
        </is>
      </c>
      <c r="B329" t="inlineStr">
        <is>
          <t>Fitout</t>
        </is>
      </c>
      <c r="C329" t="inlineStr">
        <is>
          <t>Lighting &amp; Electrical Installations (High-CRI)</t>
        </is>
      </c>
      <c r="D329" t="n">
        <v>11700</v>
      </c>
      <c r="E329" t="inlineStr">
        <is>
          <t>Track lighting, wiring, and power outlet distribution quotes</t>
        </is>
      </c>
    </row>
    <row r="330">
      <c r="A330" t="inlineStr">
        <is>
          <t>Brisbane</t>
        </is>
      </c>
      <c r="B330" t="inlineStr">
        <is>
          <t>Fitout</t>
        </is>
      </c>
      <c r="C330" t="inlineStr">
        <is>
          <t>Flooring &amp; Ceiling Works</t>
        </is>
      </c>
      <c r="D330" t="n">
        <v>11700</v>
      </c>
      <c r="E330" t="inlineStr">
        <is>
          <t>Acoustic ceiling tiling and water-resistant wood/tile flooring quotes</t>
        </is>
      </c>
    </row>
    <row r="331">
      <c r="A331" t="inlineStr">
        <is>
          <t>Brisbane</t>
        </is>
      </c>
      <c r="B331" t="inlineStr">
        <is>
          <t>Equipment</t>
        </is>
      </c>
      <c r="C331" t="inlineStr">
        <is>
          <t>Takara Belmont Styling Chairs (4 units)</t>
        </is>
      </c>
      <c r="D331" t="n">
        <v>8000</v>
      </c>
      <c r="E331" t="inlineStr">
        <is>
          <t>Takara Belmont B2B Pricing Catalog (Premium Series)</t>
        </is>
      </c>
    </row>
    <row r="332">
      <c r="A332" t="inlineStr">
        <is>
          <t>Brisbane</t>
        </is>
      </c>
      <c r="B332" t="inlineStr">
        <is>
          <t>Equipment</t>
        </is>
      </c>
      <c r="C332" t="inlineStr">
        <is>
          <t>Takara Belmont Backwash Wash Basins (2 units)</t>
        </is>
      </c>
      <c r="D332" t="n">
        <v>7000</v>
      </c>
      <c r="E332" t="inlineStr">
        <is>
          <t>Takara Belmont Wash Systems Catalog 2025</t>
        </is>
      </c>
    </row>
    <row r="333">
      <c r="A333" t="inlineStr">
        <is>
          <t>Brisbane</t>
        </is>
      </c>
      <c r="B333" t="inlineStr">
        <is>
          <t>Equipment</t>
        </is>
      </c>
      <c r="C333" t="inlineStr">
        <is>
          <t>Water Softening &amp; Multi-Stage Filtration System</t>
        </is>
      </c>
      <c r="D333" t="n">
        <v>5000</v>
      </c>
      <c r="E333" t="inlineStr">
        <is>
          <t>Commercial RO system specifications and installation quote</t>
        </is>
      </c>
    </row>
    <row r="334">
      <c r="A334" t="inlineStr">
        <is>
          <t>Brisbane</t>
        </is>
      </c>
      <c r="B334" t="inlineStr">
        <is>
          <t>Other CAPEX</t>
        </is>
      </c>
      <c r="C334" t="inlineStr">
        <is>
          <t>Initial Color &amp; Chemical Inventory (Stock)</t>
        </is>
      </c>
      <c r="D334" t="n">
        <v>4200</v>
      </c>
      <c r="E334" t="inlineStr">
        <is>
          <t>Wella Professionals &amp; Milbon Distributor Starter Stock list</t>
        </is>
      </c>
    </row>
    <row r="335">
      <c r="A335" t="inlineStr">
        <is>
          <t>Brisbane</t>
        </is>
      </c>
      <c r="B335" t="inlineStr">
        <is>
          <t>Other CAPEX</t>
        </is>
      </c>
      <c r="C335" t="inlineStr">
        <is>
          <t>Professional Styling Tools (Dyson dryers, shears)</t>
        </is>
      </c>
      <c r="D335" t="n">
        <v>2100</v>
      </c>
      <c r="E335" t="inlineStr">
        <is>
          <t>Dyson Professional Partner Pricing &amp; shears kit catalog</t>
        </is>
      </c>
    </row>
    <row r="336">
      <c r="A336" t="inlineStr">
        <is>
          <t>Brisbane</t>
        </is>
      </c>
      <c r="B336" t="inlineStr">
        <is>
          <t>Other CAPEX</t>
        </is>
      </c>
      <c r="C336" t="inlineStr">
        <is>
          <t>Retail Product Initial Stock (Oribe, Kérastase)</t>
        </is>
      </c>
      <c r="D336" t="n">
        <v>2100</v>
      </c>
      <c r="E336" t="inlineStr">
        <is>
          <t>Oribe &amp; Kérastase B2B opening inventory order guidelines</t>
        </is>
      </c>
    </row>
    <row r="337">
      <c r="A337" t="inlineStr">
        <is>
          <t>Brisbane</t>
        </is>
      </c>
      <c r="B337" t="inlineStr">
        <is>
          <t>Deposit</t>
        </is>
      </c>
      <c r="C337" t="inlineStr">
        <is>
          <t>Commercial Landlord Security Deposit (3 months)</t>
        </is>
      </c>
      <c r="D337" t="n">
        <v>8400</v>
      </c>
      <c r="E337" t="inlineStr">
        <is>
          <t>Standard commercial landlord lease terms for prime retail</t>
        </is>
      </c>
    </row>
    <row r="338">
      <c r="A338" t="inlineStr">
        <is>
          <t>Brisbane</t>
        </is>
      </c>
      <c r="B338" t="inlineStr">
        <is>
          <t>Biz Reg</t>
        </is>
      </c>
      <c r="C338" t="inlineStr">
        <is>
          <t>Company Incorporation &amp; Legal Registrations</t>
        </is>
      </c>
      <c r="D338" t="n">
        <v>2700</v>
      </c>
      <c r="E338" t="inlineStr">
        <is>
          <t>Local Companies Registry &amp; foreign entity setup filing fees</t>
        </is>
      </c>
    </row>
    <row r="339">
      <c r="A339" t="inlineStr">
        <is>
          <t>Brisbane</t>
        </is>
      </c>
      <c r="B339" t="inlineStr">
        <is>
          <t>Biz Reg</t>
        </is>
      </c>
      <c r="C339" t="inlineStr">
        <is>
          <t>Annual Resident Agent &amp; Secretary Retainer</t>
        </is>
      </c>
      <c r="D339" t="n">
        <v>1800</v>
      </c>
      <c r="E339" t="inlineStr">
        <is>
          <t>Local corporate services provider standard annual pricing</t>
        </is>
      </c>
    </row>
    <row r="340">
      <c r="A340" t="inlineStr">
        <is>
          <t>Perth</t>
        </is>
      </c>
      <c r="B340" t="inlineStr">
        <is>
          <t>Fitout</t>
        </is>
      </c>
      <c r="C340" t="inlineStr">
        <is>
          <t>Interior Renovation &amp; Drywall Partitioning</t>
        </is>
      </c>
      <c r="D340" t="n">
        <v>29900</v>
      </c>
      <c r="E340" t="inlineStr">
        <is>
          <t>Local contractor labor and material cost estimates</t>
        </is>
      </c>
    </row>
    <row r="341">
      <c r="A341" t="inlineStr">
        <is>
          <t>Perth</t>
        </is>
      </c>
      <c r="B341" t="inlineStr">
        <is>
          <t>Fitout</t>
        </is>
      </c>
      <c r="C341" t="inlineStr">
        <is>
          <t>Custom Joinery (Vanity units, retail shelving)</t>
        </is>
      </c>
      <c r="D341" t="n">
        <v>22425</v>
      </c>
      <c r="E341" t="inlineStr">
        <is>
          <t>Custom carpenter fabrication quotes for salon styling stations</t>
        </is>
      </c>
    </row>
    <row r="342">
      <c r="A342" t="inlineStr">
        <is>
          <t>Perth</t>
        </is>
      </c>
      <c r="B342" t="inlineStr">
        <is>
          <t>Fitout</t>
        </is>
      </c>
      <c r="C342" t="inlineStr">
        <is>
          <t>Lighting &amp; Electrical Installations (High-CRI)</t>
        </is>
      </c>
      <c r="D342" t="n">
        <v>11212</v>
      </c>
      <c r="E342" t="inlineStr">
        <is>
          <t>Track lighting, wiring, and power outlet distribution quotes</t>
        </is>
      </c>
    </row>
    <row r="343">
      <c r="A343" t="inlineStr">
        <is>
          <t>Perth</t>
        </is>
      </c>
      <c r="B343" t="inlineStr">
        <is>
          <t>Fitout</t>
        </is>
      </c>
      <c r="C343" t="inlineStr">
        <is>
          <t>Flooring &amp; Ceiling Works</t>
        </is>
      </c>
      <c r="D343" t="n">
        <v>11212</v>
      </c>
      <c r="E343" t="inlineStr">
        <is>
          <t>Acoustic ceiling tiling and water-resistant wood/tile flooring quotes</t>
        </is>
      </c>
    </row>
    <row r="344">
      <c r="A344" t="inlineStr">
        <is>
          <t>Perth</t>
        </is>
      </c>
      <c r="B344" t="inlineStr">
        <is>
          <t>Equipment</t>
        </is>
      </c>
      <c r="C344" t="inlineStr">
        <is>
          <t>Takara Belmont Styling Chairs (4 units)</t>
        </is>
      </c>
      <c r="D344" t="n">
        <v>7600</v>
      </c>
      <c r="E344" t="inlineStr">
        <is>
          <t>Takara Belmont B2B Pricing Catalog (Premium Series)</t>
        </is>
      </c>
    </row>
    <row r="345">
      <c r="A345" t="inlineStr">
        <is>
          <t>Perth</t>
        </is>
      </c>
      <c r="B345" t="inlineStr">
        <is>
          <t>Equipment</t>
        </is>
      </c>
      <c r="C345" t="inlineStr">
        <is>
          <t>Takara Belmont Backwash Wash Basins (2 units)</t>
        </is>
      </c>
      <c r="D345" t="n">
        <v>6650</v>
      </c>
      <c r="E345" t="inlineStr">
        <is>
          <t>Takara Belmont Wash Systems Catalog 2025</t>
        </is>
      </c>
    </row>
    <row r="346">
      <c r="A346" t="inlineStr">
        <is>
          <t>Perth</t>
        </is>
      </c>
      <c r="B346" t="inlineStr">
        <is>
          <t>Equipment</t>
        </is>
      </c>
      <c r="C346" t="inlineStr">
        <is>
          <t>Water Softening &amp; Multi-Stage Filtration System</t>
        </is>
      </c>
      <c r="D346" t="n">
        <v>4750</v>
      </c>
      <c r="E346" t="inlineStr">
        <is>
          <t>Commercial RO system specifications and installation quote</t>
        </is>
      </c>
    </row>
    <row r="347">
      <c r="A347" t="inlineStr">
        <is>
          <t>Perth</t>
        </is>
      </c>
      <c r="B347" t="inlineStr">
        <is>
          <t>Other CAPEX</t>
        </is>
      </c>
      <c r="C347" t="inlineStr">
        <is>
          <t>Initial Color &amp; Chemical Inventory (Stock)</t>
        </is>
      </c>
      <c r="D347" t="n">
        <v>3000</v>
      </c>
      <c r="E347" t="inlineStr">
        <is>
          <t>Wella Professionals &amp; Milbon Distributor Starter Stock list</t>
        </is>
      </c>
    </row>
    <row r="348">
      <c r="A348" t="inlineStr">
        <is>
          <t>Perth</t>
        </is>
      </c>
      <c r="B348" t="inlineStr">
        <is>
          <t>Other CAPEX</t>
        </is>
      </c>
      <c r="C348" t="inlineStr">
        <is>
          <t>Professional Styling Tools (Dyson dryers, shears)</t>
        </is>
      </c>
      <c r="D348" t="n">
        <v>1500</v>
      </c>
      <c r="E348" t="inlineStr">
        <is>
          <t>Dyson Professional Partner Pricing &amp; shears kit catalog</t>
        </is>
      </c>
    </row>
    <row r="349">
      <c r="A349" t="inlineStr">
        <is>
          <t>Perth</t>
        </is>
      </c>
      <c r="B349" t="inlineStr">
        <is>
          <t>Other CAPEX</t>
        </is>
      </c>
      <c r="C349" t="inlineStr">
        <is>
          <t>Retail Product Initial Stock (Oribe, Kérastase)</t>
        </is>
      </c>
      <c r="D349" t="n">
        <v>1500</v>
      </c>
      <c r="E349" t="inlineStr">
        <is>
          <t>Oribe &amp; Kérastase B2B opening inventory order guidelines</t>
        </is>
      </c>
    </row>
    <row r="350">
      <c r="A350" t="inlineStr">
        <is>
          <t>Perth</t>
        </is>
      </c>
      <c r="B350" t="inlineStr">
        <is>
          <t>Deposit</t>
        </is>
      </c>
      <c r="C350" t="inlineStr">
        <is>
          <t>Commercial Landlord Security Deposit (3 months)</t>
        </is>
      </c>
      <c r="D350" t="n">
        <v>6000</v>
      </c>
      <c r="E350" t="inlineStr">
        <is>
          <t>Standard commercial landlord lease terms for prime retail</t>
        </is>
      </c>
    </row>
    <row r="351">
      <c r="A351" t="inlineStr">
        <is>
          <t>Perth</t>
        </is>
      </c>
      <c r="B351" t="inlineStr">
        <is>
          <t>Biz Reg</t>
        </is>
      </c>
      <c r="C351" t="inlineStr">
        <is>
          <t>Company Incorporation &amp; Legal Registrations</t>
        </is>
      </c>
      <c r="D351" t="n">
        <v>2700</v>
      </c>
      <c r="E351" t="inlineStr">
        <is>
          <t>Local Companies Registry &amp; foreign entity setup filing fees</t>
        </is>
      </c>
    </row>
    <row r="352">
      <c r="A352" t="inlineStr">
        <is>
          <t>Perth</t>
        </is>
      </c>
      <c r="B352" t="inlineStr">
        <is>
          <t>Biz Reg</t>
        </is>
      </c>
      <c r="C352" t="inlineStr">
        <is>
          <t>Annual Resident Agent &amp; Secretary Retainer</t>
        </is>
      </c>
      <c r="D352" t="n">
        <v>1800</v>
      </c>
      <c r="E352" t="inlineStr">
        <is>
          <t>Local corporate services provider standard annual pricing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Category</t>
        </is>
      </c>
      <c r="C1" t="inlineStr">
        <is>
          <t>Component</t>
        </is>
      </c>
      <c r="D1" t="inlineStr">
        <is>
          <t>Cost_USD</t>
        </is>
      </c>
      <c r="E1" t="inlineStr">
        <is>
          <t>Reference</t>
        </is>
      </c>
    </row>
    <row r="2">
      <c r="A2" t="inlineStr">
        <is>
          <t>Ho Chi Minh</t>
        </is>
      </c>
      <c r="B2" t="inlineStr">
        <is>
          <t>Rent</t>
        </is>
      </c>
      <c r="C2" t="inlineStr">
        <is>
          <t>Base Commercial Rent (inc. service charges)</t>
        </is>
      </c>
      <c r="D2" t="n">
        <v>3000</v>
      </c>
      <c r="E2" t="inlineStr">
        <is>
          <t>Estimated prime retail rental rates for recommended locations</t>
        </is>
      </c>
    </row>
    <row r="3">
      <c r="A3" t="inlineStr">
        <is>
          <t>Ho Chi Minh</t>
        </is>
      </c>
      <c r="B3" t="inlineStr">
        <is>
          <t>Staff Cost</t>
        </is>
      </c>
      <c r="C3" t="inlineStr">
        <is>
          <t>Senior Hair Stylist Salary (2 headcount)</t>
        </is>
      </c>
      <c r="D3" t="n">
        <v>1600</v>
      </c>
      <c r="E3" t="inlineStr">
        <is>
          <t>National Hairdresser Salary Survey for Senior Stylists (Base of $800.0/mo)</t>
        </is>
      </c>
    </row>
    <row r="4">
      <c r="A4" t="inlineStr">
        <is>
          <t>Ho Chi Minh</t>
        </is>
      </c>
      <c r="B4" t="inlineStr">
        <is>
          <t>Staff Cost</t>
        </is>
      </c>
      <c r="C4" t="inlineStr">
        <is>
          <t>Junior Hair Stylist Salary (2 headcount)</t>
        </is>
      </c>
      <c r="D4" t="n">
        <v>1000</v>
      </c>
      <c r="E4" t="inlineStr">
        <is>
          <t>National Hairdresser Salary Survey for Junior Stylists (Base of $500.0/mo)</t>
        </is>
      </c>
    </row>
    <row r="5">
      <c r="A5" t="inlineStr">
        <is>
          <t>Ho Chi Minh</t>
        </is>
      </c>
      <c r="B5" t="inlineStr">
        <is>
          <t>Staff Cost</t>
        </is>
      </c>
      <c r="C5" t="inlineStr">
        <is>
          <t>Stylist Assistants / Techs (2 headcount)</t>
        </is>
      </c>
      <c r="D5" t="n">
        <v>840</v>
      </c>
      <c r="E5" t="inlineStr">
        <is>
          <t>National Hairdresser Salary Survey for Assistants (Base of $420.0/mo)</t>
        </is>
      </c>
    </row>
    <row r="6">
      <c r="A6" t="inlineStr">
        <is>
          <t>Ho Chi Minh</t>
        </is>
      </c>
      <c r="B6" t="inlineStr">
        <is>
          <t>Staff Cost</t>
        </is>
      </c>
      <c r="C6" t="inlineStr">
        <is>
          <t>Salon Manager / Receptionist Salary (1 headcount)</t>
        </is>
      </c>
      <c r="D6" t="n">
        <v>1100</v>
      </c>
      <c r="E6" t="inlineStr">
        <is>
          <t>National Salary Survey for Salon Managers (Base of $1100.0/mo)</t>
        </is>
      </c>
    </row>
    <row r="7">
      <c r="A7" t="inlineStr">
        <is>
          <t>Ho Chi Minh</t>
        </is>
      </c>
      <c r="B7" t="inlineStr">
        <is>
          <t>Utilities</t>
        </is>
      </c>
      <c r="C7" t="inlineStr">
        <is>
          <t>Electricity (AC, blowdryers, lighting)</t>
        </is>
      </c>
      <c r="D7" t="n">
        <v>312</v>
      </c>
      <c r="E7" t="inlineStr">
        <is>
          <t>Local electric power utility commercial tariff estimates</t>
        </is>
      </c>
    </row>
    <row r="8">
      <c r="A8" t="inlineStr">
        <is>
          <t>Ho Chi Minh</t>
        </is>
      </c>
      <c r="B8" t="inlineStr">
        <is>
          <t>Utilities</t>
        </is>
      </c>
      <c r="C8" t="inlineStr">
        <is>
          <t>Water &amp; Filtration Replacement Filters</t>
        </is>
      </c>
      <c r="D8" t="n">
        <v>208</v>
      </c>
      <c r="E8" t="inlineStr">
        <is>
          <t>Local water utility charges and recurring demineralizer filters cost</t>
        </is>
      </c>
    </row>
    <row r="9">
      <c r="A9" t="inlineStr">
        <is>
          <t>Ho Chi Minh</t>
        </is>
      </c>
      <c r="B9" t="inlineStr">
        <is>
          <t>Marketing &amp; Misc</t>
        </is>
      </c>
      <c r="C9" t="inlineStr">
        <is>
          <t>Localized Social Media Advertising (Meta, IG)</t>
        </is>
      </c>
      <c r="D9" t="n">
        <v>582</v>
      </c>
      <c r="E9" t="inlineStr">
        <is>
          <t>Local Facebook &amp; Instagram targeted advertising agency packages</t>
        </is>
      </c>
    </row>
    <row r="10">
      <c r="A10" t="inlineStr">
        <is>
          <t>Ho Chi Minh</t>
        </is>
      </c>
      <c r="B10" t="inlineStr">
        <is>
          <t>Marketing &amp; Misc</t>
        </is>
      </c>
      <c r="C10" t="inlineStr">
        <is>
          <t>PR, Influencer (KOL) Invites &amp; Print Material</t>
        </is>
      </c>
      <c r="D10" t="n">
        <v>388</v>
      </c>
      <c r="E10" t="inlineStr">
        <is>
          <t>Launch month promotion campaign and graphic design print materials</t>
        </is>
      </c>
    </row>
    <row r="11">
      <c r="A11" t="inlineStr">
        <is>
          <t>Ho Chi Minh</t>
        </is>
      </c>
      <c r="B11" t="inlineStr">
        <is>
          <t>Admin &amp; SW</t>
        </is>
      </c>
      <c r="C11" t="inlineStr">
        <is>
          <t>Salon Booking Software &amp; POS SaaS Subscription</t>
        </is>
      </c>
      <c r="D11" t="n">
        <v>80</v>
      </c>
      <c r="E11" t="inlineStr">
        <is>
          <t>Phorest POS software monthly subscription charges for 4-5 stations</t>
        </is>
      </c>
    </row>
    <row r="12">
      <c r="A12" t="inlineStr">
        <is>
          <t>Ho Chi Minh</t>
        </is>
      </c>
      <c r="B12" t="inlineStr">
        <is>
          <t>Admin &amp; SW</t>
        </is>
      </c>
      <c r="C12" t="inlineStr">
        <is>
          <t>Commercial Insurance, Bookkeeping &amp; Compliance</t>
        </is>
      </c>
      <c r="D12" t="n">
        <v>120</v>
      </c>
      <c r="E12" t="inlineStr">
        <is>
          <t>Local business insurance quote &amp; independent accountant retainer</t>
        </is>
      </c>
    </row>
    <row r="13">
      <c r="A13" t="inlineStr">
        <is>
          <t>Hanoi</t>
        </is>
      </c>
      <c r="B13" t="inlineStr">
        <is>
          <t>Rent</t>
        </is>
      </c>
      <c r="C13" t="inlineStr">
        <is>
          <t>Base Commercial Rent (inc. service charges)</t>
        </is>
      </c>
      <c r="D13" t="n">
        <v>2200</v>
      </c>
      <c r="E13" t="inlineStr">
        <is>
          <t>Estimated prime retail rental rates for recommended locations</t>
        </is>
      </c>
    </row>
    <row r="14">
      <c r="A14" t="inlineStr">
        <is>
          <t>Hanoi</t>
        </is>
      </c>
      <c r="B14" t="inlineStr">
        <is>
          <t>Staff Cost</t>
        </is>
      </c>
      <c r="C14" t="inlineStr">
        <is>
          <t>Senior Hair Stylist Salary (2 headcount)</t>
        </is>
      </c>
      <c r="D14" t="n">
        <v>1600</v>
      </c>
      <c r="E14" t="inlineStr">
        <is>
          <t>National Hairdresser Salary Survey for Senior Stylists (Base of $800.0/mo)</t>
        </is>
      </c>
    </row>
    <row r="15">
      <c r="A15" t="inlineStr">
        <is>
          <t>Hanoi</t>
        </is>
      </c>
      <c r="B15" t="inlineStr">
        <is>
          <t>Staff Cost</t>
        </is>
      </c>
      <c r="C15" t="inlineStr">
        <is>
          <t>Junior Hair Stylist Salary (2 headcount)</t>
        </is>
      </c>
      <c r="D15" t="n">
        <v>1000</v>
      </c>
      <c r="E15" t="inlineStr">
        <is>
          <t>National Hairdresser Salary Survey for Junior Stylists (Base of $500.0/mo)</t>
        </is>
      </c>
    </row>
    <row r="16">
      <c r="A16" t="inlineStr">
        <is>
          <t>Hanoi</t>
        </is>
      </c>
      <c r="B16" t="inlineStr">
        <is>
          <t>Staff Cost</t>
        </is>
      </c>
      <c r="C16" t="inlineStr">
        <is>
          <t>Stylist Assistants / Techs (2 headcount)</t>
        </is>
      </c>
      <c r="D16" t="n">
        <v>840</v>
      </c>
      <c r="E16" t="inlineStr">
        <is>
          <t>National Hairdresser Salary Survey for Assistants (Base of $420.0/mo)</t>
        </is>
      </c>
    </row>
    <row r="17">
      <c r="A17" t="inlineStr">
        <is>
          <t>Hanoi</t>
        </is>
      </c>
      <c r="B17" t="inlineStr">
        <is>
          <t>Staff Cost</t>
        </is>
      </c>
      <c r="C17" t="inlineStr">
        <is>
          <t>Salon Manager / Receptionist Salary (1 headcount)</t>
        </is>
      </c>
      <c r="D17" t="n">
        <v>1100</v>
      </c>
      <c r="E17" t="inlineStr">
        <is>
          <t>National Salary Survey for Salon Managers (Base of $1100.0/mo)</t>
        </is>
      </c>
    </row>
    <row r="18">
      <c r="A18" t="inlineStr">
        <is>
          <t>Hanoi</t>
        </is>
      </c>
      <c r="B18" t="inlineStr">
        <is>
          <t>Utilities</t>
        </is>
      </c>
      <c r="C18" t="inlineStr">
        <is>
          <t>Electricity (AC, blowdryers, lighting)</t>
        </is>
      </c>
      <c r="D18" t="n">
        <v>312</v>
      </c>
      <c r="E18" t="inlineStr">
        <is>
          <t>Local electric power utility commercial tariff estimates</t>
        </is>
      </c>
    </row>
    <row r="19">
      <c r="A19" t="inlineStr">
        <is>
          <t>Hanoi</t>
        </is>
      </c>
      <c r="B19" t="inlineStr">
        <is>
          <t>Utilities</t>
        </is>
      </c>
      <c r="C19" t="inlineStr">
        <is>
          <t>Water &amp; Filtration Replacement Filters</t>
        </is>
      </c>
      <c r="D19" t="n">
        <v>208</v>
      </c>
      <c r="E19" t="inlineStr">
        <is>
          <t>Local water utility charges and recurring demineralizer filters cost</t>
        </is>
      </c>
    </row>
    <row r="20">
      <c r="A20" t="inlineStr">
        <is>
          <t>Hanoi</t>
        </is>
      </c>
      <c r="B20" t="inlineStr">
        <is>
          <t>Marketing &amp; Misc</t>
        </is>
      </c>
      <c r="C20" t="inlineStr">
        <is>
          <t>Localized Social Media Advertising (Meta, IG)</t>
        </is>
      </c>
      <c r="D20" t="n">
        <v>582</v>
      </c>
      <c r="E20" t="inlineStr">
        <is>
          <t>Local Facebook &amp; Instagram targeted advertising agency packages</t>
        </is>
      </c>
    </row>
    <row r="21">
      <c r="A21" t="inlineStr">
        <is>
          <t>Hanoi</t>
        </is>
      </c>
      <c r="B21" t="inlineStr">
        <is>
          <t>Marketing &amp; Misc</t>
        </is>
      </c>
      <c r="C21" t="inlineStr">
        <is>
          <t>PR, Influencer (KOL) Invites &amp; Print Material</t>
        </is>
      </c>
      <c r="D21" t="n">
        <v>388</v>
      </c>
      <c r="E21" t="inlineStr">
        <is>
          <t>Launch month promotion campaign and graphic design print materials</t>
        </is>
      </c>
    </row>
    <row r="22">
      <c r="A22" t="inlineStr">
        <is>
          <t>Hanoi</t>
        </is>
      </c>
      <c r="B22" t="inlineStr">
        <is>
          <t>Admin &amp; SW</t>
        </is>
      </c>
      <c r="C22" t="inlineStr">
        <is>
          <t>Salon Booking Software &amp; POS SaaS Subscription</t>
        </is>
      </c>
      <c r="D22" t="n">
        <v>80</v>
      </c>
      <c r="E22" t="inlineStr">
        <is>
          <t>Phorest POS software monthly subscription charges for 4-5 stations</t>
        </is>
      </c>
    </row>
    <row r="23">
      <c r="A23" t="inlineStr">
        <is>
          <t>Hanoi</t>
        </is>
      </c>
      <c r="B23" t="inlineStr">
        <is>
          <t>Admin &amp; SW</t>
        </is>
      </c>
      <c r="C23" t="inlineStr">
        <is>
          <t>Commercial Insurance, Bookkeeping &amp; Compliance</t>
        </is>
      </c>
      <c r="D23" t="n">
        <v>120</v>
      </c>
      <c r="E23" t="inlineStr">
        <is>
          <t>Local business insurance quote &amp; independent accountant retainer</t>
        </is>
      </c>
    </row>
    <row r="24">
      <c r="A24" t="inlineStr">
        <is>
          <t>Da Nang</t>
        </is>
      </c>
      <c r="B24" t="inlineStr">
        <is>
          <t>Rent</t>
        </is>
      </c>
      <c r="C24" t="inlineStr">
        <is>
          <t>Base Commercial Rent (inc. service charges)</t>
        </is>
      </c>
      <c r="D24" t="n">
        <v>800</v>
      </c>
      <c r="E24" t="inlineStr">
        <is>
          <t>Estimated prime retail rental rates for recommended locations</t>
        </is>
      </c>
    </row>
    <row r="25">
      <c r="A25" t="inlineStr">
        <is>
          <t>Da Nang</t>
        </is>
      </c>
      <c r="B25" t="inlineStr">
        <is>
          <t>Staff Cost</t>
        </is>
      </c>
      <c r="C25" t="inlineStr">
        <is>
          <t>Senior Hair Stylist Salary (2 headcount)</t>
        </is>
      </c>
      <c r="D25" t="n">
        <v>1600</v>
      </c>
      <c r="E25" t="inlineStr">
        <is>
          <t>National Hairdresser Salary Survey for Senior Stylists (Base of $800.0/mo)</t>
        </is>
      </c>
    </row>
    <row r="26">
      <c r="A26" t="inlineStr">
        <is>
          <t>Da Nang</t>
        </is>
      </c>
      <c r="B26" t="inlineStr">
        <is>
          <t>Staff Cost</t>
        </is>
      </c>
      <c r="C26" t="inlineStr">
        <is>
          <t>Junior Hair Stylist Salary (2 headcount)</t>
        </is>
      </c>
      <c r="D26" t="n">
        <v>1000</v>
      </c>
      <c r="E26" t="inlineStr">
        <is>
          <t>National Hairdresser Salary Survey for Junior Stylists (Base of $500.0/mo)</t>
        </is>
      </c>
    </row>
    <row r="27">
      <c r="A27" t="inlineStr">
        <is>
          <t>Da Nang</t>
        </is>
      </c>
      <c r="B27" t="inlineStr">
        <is>
          <t>Staff Cost</t>
        </is>
      </c>
      <c r="C27" t="inlineStr">
        <is>
          <t>Stylist Assistants / Techs (2 headcount)</t>
        </is>
      </c>
      <c r="D27" t="n">
        <v>840</v>
      </c>
      <c r="E27" t="inlineStr">
        <is>
          <t>National Hairdresser Salary Survey for Assistants (Base of $420.0/mo)</t>
        </is>
      </c>
    </row>
    <row r="28">
      <c r="A28" t="inlineStr">
        <is>
          <t>Da Nang</t>
        </is>
      </c>
      <c r="B28" t="inlineStr">
        <is>
          <t>Staff Cost</t>
        </is>
      </c>
      <c r="C28" t="inlineStr">
        <is>
          <t>Salon Manager / Receptionist Salary (1 headcount)</t>
        </is>
      </c>
      <c r="D28" t="n">
        <v>1100</v>
      </c>
      <c r="E28" t="inlineStr">
        <is>
          <t>National Salary Survey for Salon Managers (Base of $1100.0/mo)</t>
        </is>
      </c>
    </row>
    <row r="29">
      <c r="A29" t="inlineStr">
        <is>
          <t>Da Nang</t>
        </is>
      </c>
      <c r="B29" t="inlineStr">
        <is>
          <t>Utilities</t>
        </is>
      </c>
      <c r="C29" t="inlineStr">
        <is>
          <t>Electricity (AC, blowdryers, lighting)</t>
        </is>
      </c>
      <c r="D29" t="n">
        <v>312</v>
      </c>
      <c r="E29" t="inlineStr">
        <is>
          <t>Local electric power utility commercial tariff estimates</t>
        </is>
      </c>
    </row>
    <row r="30">
      <c r="A30" t="inlineStr">
        <is>
          <t>Da Nang</t>
        </is>
      </c>
      <c r="B30" t="inlineStr">
        <is>
          <t>Utilities</t>
        </is>
      </c>
      <c r="C30" t="inlineStr">
        <is>
          <t>Water &amp; Filtration Replacement Filters</t>
        </is>
      </c>
      <c r="D30" t="n">
        <v>208</v>
      </c>
      <c r="E30" t="inlineStr">
        <is>
          <t>Local water utility charges and recurring demineralizer filters cost</t>
        </is>
      </c>
    </row>
    <row r="31">
      <c r="A31" t="inlineStr">
        <is>
          <t>Da Nang</t>
        </is>
      </c>
      <c r="B31" t="inlineStr">
        <is>
          <t>Marketing &amp; Misc</t>
        </is>
      </c>
      <c r="C31" t="inlineStr">
        <is>
          <t>Localized Social Media Advertising (Meta, IG)</t>
        </is>
      </c>
      <c r="D31" t="n">
        <v>582</v>
      </c>
      <c r="E31" t="inlineStr">
        <is>
          <t>Local Facebook &amp; Instagram targeted advertising agency packages</t>
        </is>
      </c>
    </row>
    <row r="32">
      <c r="A32" t="inlineStr">
        <is>
          <t>Da Nang</t>
        </is>
      </c>
      <c r="B32" t="inlineStr">
        <is>
          <t>Marketing &amp; Misc</t>
        </is>
      </c>
      <c r="C32" t="inlineStr">
        <is>
          <t>PR, Influencer (KOL) Invites &amp; Print Material</t>
        </is>
      </c>
      <c r="D32" t="n">
        <v>388</v>
      </c>
      <c r="E32" t="inlineStr">
        <is>
          <t>Launch month promotion campaign and graphic design print materials</t>
        </is>
      </c>
    </row>
    <row r="33">
      <c r="A33" t="inlineStr">
        <is>
          <t>Da Nang</t>
        </is>
      </c>
      <c r="B33" t="inlineStr">
        <is>
          <t>Admin &amp; SW</t>
        </is>
      </c>
      <c r="C33" t="inlineStr">
        <is>
          <t>Salon Booking Software &amp; POS SaaS Subscription</t>
        </is>
      </c>
      <c r="D33" t="n">
        <v>80</v>
      </c>
      <c r="E33" t="inlineStr">
        <is>
          <t>Phorest POS software monthly subscription charges for 4-5 stations</t>
        </is>
      </c>
    </row>
    <row r="34">
      <c r="A34" t="inlineStr">
        <is>
          <t>Da Nang</t>
        </is>
      </c>
      <c r="B34" t="inlineStr">
        <is>
          <t>Admin &amp; SW</t>
        </is>
      </c>
      <c r="C34" t="inlineStr">
        <is>
          <t>Commercial Insurance, Bookkeeping &amp; Compliance</t>
        </is>
      </c>
      <c r="D34" t="n">
        <v>120</v>
      </c>
      <c r="E34" t="inlineStr">
        <is>
          <t>Local business insurance quote &amp; independent accountant retainer</t>
        </is>
      </c>
    </row>
    <row r="35">
      <c r="A35" t="inlineStr">
        <is>
          <t>Hai Phong</t>
        </is>
      </c>
      <c r="B35" t="inlineStr">
        <is>
          <t>Rent</t>
        </is>
      </c>
      <c r="C35" t="inlineStr">
        <is>
          <t>Base Commercial Rent (inc. service charges)</t>
        </is>
      </c>
      <c r="D35" t="n">
        <v>650</v>
      </c>
      <c r="E35" t="inlineStr">
        <is>
          <t>Estimated prime retail rental rates for recommended locations</t>
        </is>
      </c>
    </row>
    <row r="36">
      <c r="A36" t="inlineStr">
        <is>
          <t>Hai Phong</t>
        </is>
      </c>
      <c r="B36" t="inlineStr">
        <is>
          <t>Staff Cost</t>
        </is>
      </c>
      <c r="C36" t="inlineStr">
        <is>
          <t>Senior Hair Stylist Salary (2 headcount)</t>
        </is>
      </c>
      <c r="D36" t="n">
        <v>1600</v>
      </c>
      <c r="E36" t="inlineStr">
        <is>
          <t>National Hairdresser Salary Survey for Senior Stylists (Base of $800.0/mo)</t>
        </is>
      </c>
    </row>
    <row r="37">
      <c r="A37" t="inlineStr">
        <is>
          <t>Hai Phong</t>
        </is>
      </c>
      <c r="B37" t="inlineStr">
        <is>
          <t>Staff Cost</t>
        </is>
      </c>
      <c r="C37" t="inlineStr">
        <is>
          <t>Junior Hair Stylist Salary (2 headcount)</t>
        </is>
      </c>
      <c r="D37" t="n">
        <v>1000</v>
      </c>
      <c r="E37" t="inlineStr">
        <is>
          <t>National Hairdresser Salary Survey for Junior Stylists (Base of $500.0/mo)</t>
        </is>
      </c>
    </row>
    <row r="38">
      <c r="A38" t="inlineStr">
        <is>
          <t>Hai Phong</t>
        </is>
      </c>
      <c r="B38" t="inlineStr">
        <is>
          <t>Staff Cost</t>
        </is>
      </c>
      <c r="C38" t="inlineStr">
        <is>
          <t>Stylist Assistants / Techs (2 headcount)</t>
        </is>
      </c>
      <c r="D38" t="n">
        <v>840</v>
      </c>
      <c r="E38" t="inlineStr">
        <is>
          <t>National Hairdresser Salary Survey for Assistants (Base of $420.0/mo)</t>
        </is>
      </c>
    </row>
    <row r="39">
      <c r="A39" t="inlineStr">
        <is>
          <t>Hai Phong</t>
        </is>
      </c>
      <c r="B39" t="inlineStr">
        <is>
          <t>Staff Cost</t>
        </is>
      </c>
      <c r="C39" t="inlineStr">
        <is>
          <t>Salon Manager / Receptionist Salary (1 headcount)</t>
        </is>
      </c>
      <c r="D39" t="n">
        <v>1100</v>
      </c>
      <c r="E39" t="inlineStr">
        <is>
          <t>National Salary Survey for Salon Managers (Base of $1100.0/mo)</t>
        </is>
      </c>
    </row>
    <row r="40">
      <c r="A40" t="inlineStr">
        <is>
          <t>Hai Phong</t>
        </is>
      </c>
      <c r="B40" t="inlineStr">
        <is>
          <t>Utilities</t>
        </is>
      </c>
      <c r="C40" t="inlineStr">
        <is>
          <t>Electricity (AC, blowdryers, lighting)</t>
        </is>
      </c>
      <c r="D40" t="n">
        <v>312</v>
      </c>
      <c r="E40" t="inlineStr">
        <is>
          <t>Local electric power utility commercial tariff estimates</t>
        </is>
      </c>
    </row>
    <row r="41">
      <c r="A41" t="inlineStr">
        <is>
          <t>Hai Phong</t>
        </is>
      </c>
      <c r="B41" t="inlineStr">
        <is>
          <t>Utilities</t>
        </is>
      </c>
      <c r="C41" t="inlineStr">
        <is>
          <t>Water &amp; Filtration Replacement Filters</t>
        </is>
      </c>
      <c r="D41" t="n">
        <v>208</v>
      </c>
      <c r="E41" t="inlineStr">
        <is>
          <t>Local water utility charges and recurring demineralizer filters cost</t>
        </is>
      </c>
    </row>
    <row r="42">
      <c r="A42" t="inlineStr">
        <is>
          <t>Hai Phong</t>
        </is>
      </c>
      <c r="B42" t="inlineStr">
        <is>
          <t>Marketing &amp; Misc</t>
        </is>
      </c>
      <c r="C42" t="inlineStr">
        <is>
          <t>Localized Social Media Advertising (Meta, IG)</t>
        </is>
      </c>
      <c r="D42" t="n">
        <v>582</v>
      </c>
      <c r="E42" t="inlineStr">
        <is>
          <t>Local Facebook &amp; Instagram targeted advertising agency packages</t>
        </is>
      </c>
    </row>
    <row r="43">
      <c r="A43" t="inlineStr">
        <is>
          <t>Hai Phong</t>
        </is>
      </c>
      <c r="B43" t="inlineStr">
        <is>
          <t>Marketing &amp; Misc</t>
        </is>
      </c>
      <c r="C43" t="inlineStr">
        <is>
          <t>PR, Influencer (KOL) Invites &amp; Print Material</t>
        </is>
      </c>
      <c r="D43" t="n">
        <v>388</v>
      </c>
      <c r="E43" t="inlineStr">
        <is>
          <t>Launch month promotion campaign and graphic design print materials</t>
        </is>
      </c>
    </row>
    <row r="44">
      <c r="A44" t="inlineStr">
        <is>
          <t>Hai Phong</t>
        </is>
      </c>
      <c r="B44" t="inlineStr">
        <is>
          <t>Admin &amp; SW</t>
        </is>
      </c>
      <c r="C44" t="inlineStr">
        <is>
          <t>Salon Booking Software &amp; POS SaaS Subscription</t>
        </is>
      </c>
      <c r="D44" t="n">
        <v>80</v>
      </c>
      <c r="E44" t="inlineStr">
        <is>
          <t>Phorest POS software monthly subscription charges for 4-5 stations</t>
        </is>
      </c>
    </row>
    <row r="45">
      <c r="A45" t="inlineStr">
        <is>
          <t>Hai Phong</t>
        </is>
      </c>
      <c r="B45" t="inlineStr">
        <is>
          <t>Admin &amp; SW</t>
        </is>
      </c>
      <c r="C45" t="inlineStr">
        <is>
          <t>Commercial Insurance, Bookkeeping &amp; Compliance</t>
        </is>
      </c>
      <c r="D45" t="n">
        <v>120</v>
      </c>
      <c r="E45" t="inlineStr">
        <is>
          <t>Local business insurance quote &amp; independent accountant retainer</t>
        </is>
      </c>
    </row>
    <row r="46">
      <c r="A46" t="inlineStr">
        <is>
          <t>Binh Duong</t>
        </is>
      </c>
      <c r="B46" t="inlineStr">
        <is>
          <t>Rent</t>
        </is>
      </c>
      <c r="C46" t="inlineStr">
        <is>
          <t>Base Commercial Rent (inc. service charges)</t>
        </is>
      </c>
      <c r="D46" t="n">
        <v>600</v>
      </c>
      <c r="E46" t="inlineStr">
        <is>
          <t>Estimated prime retail rental rates for recommended locations</t>
        </is>
      </c>
    </row>
    <row r="47">
      <c r="A47" t="inlineStr">
        <is>
          <t>Binh Duong</t>
        </is>
      </c>
      <c r="B47" t="inlineStr">
        <is>
          <t>Staff Cost</t>
        </is>
      </c>
      <c r="C47" t="inlineStr">
        <is>
          <t>Senior Hair Stylist Salary (2 headcount)</t>
        </is>
      </c>
      <c r="D47" t="n">
        <v>1600</v>
      </c>
      <c r="E47" t="inlineStr">
        <is>
          <t>National Hairdresser Salary Survey for Senior Stylists (Base of $800.0/mo)</t>
        </is>
      </c>
    </row>
    <row r="48">
      <c r="A48" t="inlineStr">
        <is>
          <t>Binh Duong</t>
        </is>
      </c>
      <c r="B48" t="inlineStr">
        <is>
          <t>Staff Cost</t>
        </is>
      </c>
      <c r="C48" t="inlineStr">
        <is>
          <t>Junior Hair Stylist Salary (2 headcount)</t>
        </is>
      </c>
      <c r="D48" t="n">
        <v>1000</v>
      </c>
      <c r="E48" t="inlineStr">
        <is>
          <t>National Hairdresser Salary Survey for Junior Stylists (Base of $500.0/mo)</t>
        </is>
      </c>
    </row>
    <row r="49">
      <c r="A49" t="inlineStr">
        <is>
          <t>Binh Duong</t>
        </is>
      </c>
      <c r="B49" t="inlineStr">
        <is>
          <t>Staff Cost</t>
        </is>
      </c>
      <c r="C49" t="inlineStr">
        <is>
          <t>Stylist Assistants / Techs (2 headcount)</t>
        </is>
      </c>
      <c r="D49" t="n">
        <v>840</v>
      </c>
      <c r="E49" t="inlineStr">
        <is>
          <t>National Hairdresser Salary Survey for Assistants (Base of $420.0/mo)</t>
        </is>
      </c>
    </row>
    <row r="50">
      <c r="A50" t="inlineStr">
        <is>
          <t>Binh Duong</t>
        </is>
      </c>
      <c r="B50" t="inlineStr">
        <is>
          <t>Staff Cost</t>
        </is>
      </c>
      <c r="C50" t="inlineStr">
        <is>
          <t>Salon Manager / Receptionist Salary (1 headcount)</t>
        </is>
      </c>
      <c r="D50" t="n">
        <v>1100</v>
      </c>
      <c r="E50" t="inlineStr">
        <is>
          <t>National Salary Survey for Salon Managers (Base of $1100.0/mo)</t>
        </is>
      </c>
    </row>
    <row r="51">
      <c r="A51" t="inlineStr">
        <is>
          <t>Binh Duong</t>
        </is>
      </c>
      <c r="B51" t="inlineStr">
        <is>
          <t>Utilities</t>
        </is>
      </c>
      <c r="C51" t="inlineStr">
        <is>
          <t>Electricity (AC, blowdryers, lighting)</t>
        </is>
      </c>
      <c r="D51" t="n">
        <v>312</v>
      </c>
      <c r="E51" t="inlineStr">
        <is>
          <t>Local electric power utility commercial tariff estimates</t>
        </is>
      </c>
    </row>
    <row r="52">
      <c r="A52" t="inlineStr">
        <is>
          <t>Binh Duong</t>
        </is>
      </c>
      <c r="B52" t="inlineStr">
        <is>
          <t>Utilities</t>
        </is>
      </c>
      <c r="C52" t="inlineStr">
        <is>
          <t>Water &amp; Filtration Replacement Filters</t>
        </is>
      </c>
      <c r="D52" t="n">
        <v>208</v>
      </c>
      <c r="E52" t="inlineStr">
        <is>
          <t>Local water utility charges and recurring demineralizer filters cost</t>
        </is>
      </c>
    </row>
    <row r="53">
      <c r="A53" t="inlineStr">
        <is>
          <t>Binh Duong</t>
        </is>
      </c>
      <c r="B53" t="inlineStr">
        <is>
          <t>Marketing &amp; Misc</t>
        </is>
      </c>
      <c r="C53" t="inlineStr">
        <is>
          <t>Localized Social Media Advertising (Meta, IG)</t>
        </is>
      </c>
      <c r="D53" t="n">
        <v>582</v>
      </c>
      <c r="E53" t="inlineStr">
        <is>
          <t>Local Facebook &amp; Instagram targeted advertising agency packages</t>
        </is>
      </c>
    </row>
    <row r="54">
      <c r="A54" t="inlineStr">
        <is>
          <t>Binh Duong</t>
        </is>
      </c>
      <c r="B54" t="inlineStr">
        <is>
          <t>Marketing &amp; Misc</t>
        </is>
      </c>
      <c r="C54" t="inlineStr">
        <is>
          <t>PR, Influencer (KOL) Invites &amp; Print Material</t>
        </is>
      </c>
      <c r="D54" t="n">
        <v>388</v>
      </c>
      <c r="E54" t="inlineStr">
        <is>
          <t>Launch month promotion campaign and graphic design print materials</t>
        </is>
      </c>
    </row>
    <row r="55">
      <c r="A55" t="inlineStr">
        <is>
          <t>Binh Duong</t>
        </is>
      </c>
      <c r="B55" t="inlineStr">
        <is>
          <t>Admin &amp; SW</t>
        </is>
      </c>
      <c r="C55" t="inlineStr">
        <is>
          <t>Salon Booking Software &amp; POS SaaS Subscription</t>
        </is>
      </c>
      <c r="D55" t="n">
        <v>80</v>
      </c>
      <c r="E55" t="inlineStr">
        <is>
          <t>Phorest POS software monthly subscription charges for 4-5 stations</t>
        </is>
      </c>
    </row>
    <row r="56">
      <c r="A56" t="inlineStr">
        <is>
          <t>Binh Duong</t>
        </is>
      </c>
      <c r="B56" t="inlineStr">
        <is>
          <t>Admin &amp; SW</t>
        </is>
      </c>
      <c r="C56" t="inlineStr">
        <is>
          <t>Commercial Insurance, Bookkeeping &amp; Compliance</t>
        </is>
      </c>
      <c r="D56" t="n">
        <v>120</v>
      </c>
      <c r="E56" t="inlineStr">
        <is>
          <t>Local business insurance quote &amp; independent accountant retainer</t>
        </is>
      </c>
    </row>
    <row r="57">
      <c r="A57" t="inlineStr">
        <is>
          <t>Dong Nai</t>
        </is>
      </c>
      <c r="B57" t="inlineStr">
        <is>
          <t>Rent</t>
        </is>
      </c>
      <c r="C57" t="inlineStr">
        <is>
          <t>Base Commercial Rent (inc. service charges)</t>
        </is>
      </c>
      <c r="D57" t="n">
        <v>550</v>
      </c>
      <c r="E57" t="inlineStr">
        <is>
          <t>Estimated prime retail rental rates for recommended locations</t>
        </is>
      </c>
    </row>
    <row r="58">
      <c r="A58" t="inlineStr">
        <is>
          <t>Dong Nai</t>
        </is>
      </c>
      <c r="B58" t="inlineStr">
        <is>
          <t>Staff Cost</t>
        </is>
      </c>
      <c r="C58" t="inlineStr">
        <is>
          <t>Senior Hair Stylist Salary (2 headcount)</t>
        </is>
      </c>
      <c r="D58" t="n">
        <v>1600</v>
      </c>
      <c r="E58" t="inlineStr">
        <is>
          <t>National Hairdresser Salary Survey for Senior Stylists (Base of $800.0/mo)</t>
        </is>
      </c>
    </row>
    <row r="59">
      <c r="A59" t="inlineStr">
        <is>
          <t>Dong Nai</t>
        </is>
      </c>
      <c r="B59" t="inlineStr">
        <is>
          <t>Staff Cost</t>
        </is>
      </c>
      <c r="C59" t="inlineStr">
        <is>
          <t>Junior Hair Stylist Salary (2 headcount)</t>
        </is>
      </c>
      <c r="D59" t="n">
        <v>1000</v>
      </c>
      <c r="E59" t="inlineStr">
        <is>
          <t>National Hairdresser Salary Survey for Junior Stylists (Base of $500.0/mo)</t>
        </is>
      </c>
    </row>
    <row r="60">
      <c r="A60" t="inlineStr">
        <is>
          <t>Dong Nai</t>
        </is>
      </c>
      <c r="B60" t="inlineStr">
        <is>
          <t>Staff Cost</t>
        </is>
      </c>
      <c r="C60" t="inlineStr">
        <is>
          <t>Stylist Assistants / Techs (2 headcount)</t>
        </is>
      </c>
      <c r="D60" t="n">
        <v>840</v>
      </c>
      <c r="E60" t="inlineStr">
        <is>
          <t>National Hairdresser Salary Survey for Assistants (Base of $420.0/mo)</t>
        </is>
      </c>
    </row>
    <row r="61">
      <c r="A61" t="inlineStr">
        <is>
          <t>Dong Nai</t>
        </is>
      </c>
      <c r="B61" t="inlineStr">
        <is>
          <t>Staff Cost</t>
        </is>
      </c>
      <c r="C61" t="inlineStr">
        <is>
          <t>Salon Manager / Receptionist Salary (1 headcount)</t>
        </is>
      </c>
      <c r="D61" t="n">
        <v>1100</v>
      </c>
      <c r="E61" t="inlineStr">
        <is>
          <t>National Salary Survey for Salon Managers (Base of $1100.0/mo)</t>
        </is>
      </c>
    </row>
    <row r="62">
      <c r="A62" t="inlineStr">
        <is>
          <t>Dong Nai</t>
        </is>
      </c>
      <c r="B62" t="inlineStr">
        <is>
          <t>Utilities</t>
        </is>
      </c>
      <c r="C62" t="inlineStr">
        <is>
          <t>Electricity (AC, blowdryers, lighting)</t>
        </is>
      </c>
      <c r="D62" t="n">
        <v>312</v>
      </c>
      <c r="E62" t="inlineStr">
        <is>
          <t>Local electric power utility commercial tariff estimates</t>
        </is>
      </c>
    </row>
    <row r="63">
      <c r="A63" t="inlineStr">
        <is>
          <t>Dong Nai</t>
        </is>
      </c>
      <c r="B63" t="inlineStr">
        <is>
          <t>Utilities</t>
        </is>
      </c>
      <c r="C63" t="inlineStr">
        <is>
          <t>Water &amp; Filtration Replacement Filters</t>
        </is>
      </c>
      <c r="D63" t="n">
        <v>208</v>
      </c>
      <c r="E63" t="inlineStr">
        <is>
          <t>Local water utility charges and recurring demineralizer filters cost</t>
        </is>
      </c>
    </row>
    <row r="64">
      <c r="A64" t="inlineStr">
        <is>
          <t>Dong Nai</t>
        </is>
      </c>
      <c r="B64" t="inlineStr">
        <is>
          <t>Marketing &amp; Misc</t>
        </is>
      </c>
      <c r="C64" t="inlineStr">
        <is>
          <t>Localized Social Media Advertising (Meta, IG)</t>
        </is>
      </c>
      <c r="D64" t="n">
        <v>582</v>
      </c>
      <c r="E64" t="inlineStr">
        <is>
          <t>Local Facebook &amp; Instagram targeted advertising agency packages</t>
        </is>
      </c>
    </row>
    <row r="65">
      <c r="A65" t="inlineStr">
        <is>
          <t>Dong Nai</t>
        </is>
      </c>
      <c r="B65" t="inlineStr">
        <is>
          <t>Marketing &amp; Misc</t>
        </is>
      </c>
      <c r="C65" t="inlineStr">
        <is>
          <t>PR, Influencer (KOL) Invites &amp; Print Material</t>
        </is>
      </c>
      <c r="D65" t="n">
        <v>388</v>
      </c>
      <c r="E65" t="inlineStr">
        <is>
          <t>Launch month promotion campaign and graphic design print materials</t>
        </is>
      </c>
    </row>
    <row r="66">
      <c r="A66" t="inlineStr">
        <is>
          <t>Dong Nai</t>
        </is>
      </c>
      <c r="B66" t="inlineStr">
        <is>
          <t>Admin &amp; SW</t>
        </is>
      </c>
      <c r="C66" t="inlineStr">
        <is>
          <t>Salon Booking Software &amp; POS SaaS Subscription</t>
        </is>
      </c>
      <c r="D66" t="n">
        <v>80</v>
      </c>
      <c r="E66" t="inlineStr">
        <is>
          <t>Phorest POS software monthly subscription charges for 4-5 stations</t>
        </is>
      </c>
    </row>
    <row r="67">
      <c r="A67" t="inlineStr">
        <is>
          <t>Dong Nai</t>
        </is>
      </c>
      <c r="B67" t="inlineStr">
        <is>
          <t>Admin &amp; SW</t>
        </is>
      </c>
      <c r="C67" t="inlineStr">
        <is>
          <t>Commercial Insurance, Bookkeeping &amp; Compliance</t>
        </is>
      </c>
      <c r="D67" t="n">
        <v>120</v>
      </c>
      <c r="E67" t="inlineStr">
        <is>
          <t>Local business insurance quote &amp; independent accountant retainer</t>
        </is>
      </c>
    </row>
    <row r="68">
      <c r="A68" t="inlineStr">
        <is>
          <t>Kuala Lumpur</t>
        </is>
      </c>
      <c r="B68" t="inlineStr">
        <is>
          <t>Rent</t>
        </is>
      </c>
      <c r="C68" t="inlineStr">
        <is>
          <t>Base Commercial Rent (inc. service charges)</t>
        </is>
      </c>
      <c r="D68" t="n">
        <v>3500</v>
      </c>
      <c r="E68" t="inlineStr">
        <is>
          <t>Estimated prime retail rental rates for recommended locations</t>
        </is>
      </c>
    </row>
    <row r="69">
      <c r="A69" t="inlineStr">
        <is>
          <t>Kuala Lumpur</t>
        </is>
      </c>
      <c r="B69" t="inlineStr">
        <is>
          <t>Staff Cost</t>
        </is>
      </c>
      <c r="C69" t="inlineStr">
        <is>
          <t>Senior Hair Stylist Salary (2 headcount)</t>
        </is>
      </c>
      <c r="D69" t="n">
        <v>1980</v>
      </c>
      <c r="E69" t="inlineStr">
        <is>
          <t>National Hairdresser Salary Survey for Senior Stylists (Base of $990.0/mo)</t>
        </is>
      </c>
    </row>
    <row r="70">
      <c r="A70" t="inlineStr">
        <is>
          <t>Kuala Lumpur</t>
        </is>
      </c>
      <c r="B70" t="inlineStr">
        <is>
          <t>Staff Cost</t>
        </is>
      </c>
      <c r="C70" t="inlineStr">
        <is>
          <t>Junior Hair Stylist Salary (2 headcount)</t>
        </is>
      </c>
      <c r="D70" t="n">
        <v>1320</v>
      </c>
      <c r="E70" t="inlineStr">
        <is>
          <t>National Hairdresser Salary Survey for Junior Stylists (Base of $660.0/mo)</t>
        </is>
      </c>
    </row>
    <row r="71">
      <c r="A71" t="inlineStr">
        <is>
          <t>Kuala Lumpur</t>
        </is>
      </c>
      <c r="B71" t="inlineStr">
        <is>
          <t>Staff Cost</t>
        </is>
      </c>
      <c r="C71" t="inlineStr">
        <is>
          <t>Stylist Assistants / Techs (2 headcount)</t>
        </is>
      </c>
      <c r="D71" t="n">
        <v>968</v>
      </c>
      <c r="E71" t="inlineStr">
        <is>
          <t>National Hairdresser Salary Survey for Assistants (Base of $484.0/mo)</t>
        </is>
      </c>
    </row>
    <row r="72">
      <c r="A72" t="inlineStr">
        <is>
          <t>Kuala Lumpur</t>
        </is>
      </c>
      <c r="B72" t="inlineStr">
        <is>
          <t>Staff Cost</t>
        </is>
      </c>
      <c r="C72" t="inlineStr">
        <is>
          <t>Salon Manager / Receptionist Salary (1 headcount)</t>
        </is>
      </c>
      <c r="D72" t="n">
        <v>1320</v>
      </c>
      <c r="E72" t="inlineStr">
        <is>
          <t>National Salary Survey for Salon Managers (Base of $1320.0/mo)</t>
        </is>
      </c>
    </row>
    <row r="73">
      <c r="A73" t="inlineStr">
        <is>
          <t>Kuala Lumpur</t>
        </is>
      </c>
      <c r="B73" t="inlineStr">
        <is>
          <t>Utilities</t>
        </is>
      </c>
      <c r="C73" t="inlineStr">
        <is>
          <t>Electricity (AC, blowdryers, lighting)</t>
        </is>
      </c>
      <c r="D73" t="n">
        <v>312</v>
      </c>
      <c r="E73" t="inlineStr">
        <is>
          <t>Local electric power utility commercial tariff estimates</t>
        </is>
      </c>
    </row>
    <row r="74">
      <c r="A74" t="inlineStr">
        <is>
          <t>Kuala Lumpur</t>
        </is>
      </c>
      <c r="B74" t="inlineStr">
        <is>
          <t>Utilities</t>
        </is>
      </c>
      <c r="C74" t="inlineStr">
        <is>
          <t>Water &amp; Filtration Replacement Filters</t>
        </is>
      </c>
      <c r="D74" t="n">
        <v>208</v>
      </c>
      <c r="E74" t="inlineStr">
        <is>
          <t>Local water utility charges and recurring demineralizer filters cost</t>
        </is>
      </c>
    </row>
    <row r="75">
      <c r="A75" t="inlineStr">
        <is>
          <t>Kuala Lumpur</t>
        </is>
      </c>
      <c r="B75" t="inlineStr">
        <is>
          <t>Marketing &amp; Misc</t>
        </is>
      </c>
      <c r="C75" t="inlineStr">
        <is>
          <t>Localized Social Media Advertising (Meta, IG)</t>
        </is>
      </c>
      <c r="D75" t="n">
        <v>582</v>
      </c>
      <c r="E75" t="inlineStr">
        <is>
          <t>Local Facebook &amp; Instagram targeted advertising agency packages</t>
        </is>
      </c>
    </row>
    <row r="76">
      <c r="A76" t="inlineStr">
        <is>
          <t>Kuala Lumpur</t>
        </is>
      </c>
      <c r="B76" t="inlineStr">
        <is>
          <t>Marketing &amp; Misc</t>
        </is>
      </c>
      <c r="C76" t="inlineStr">
        <is>
          <t>PR, Influencer (KOL) Invites &amp; Print Material</t>
        </is>
      </c>
      <c r="D76" t="n">
        <v>388</v>
      </c>
      <c r="E76" t="inlineStr">
        <is>
          <t>Launch month promotion campaign and graphic design print materials</t>
        </is>
      </c>
    </row>
    <row r="77">
      <c r="A77" t="inlineStr">
        <is>
          <t>Kuala Lumpur</t>
        </is>
      </c>
      <c r="B77" t="inlineStr">
        <is>
          <t>Admin &amp; SW</t>
        </is>
      </c>
      <c r="C77" t="inlineStr">
        <is>
          <t>Salon Booking Software &amp; POS SaaS Subscription</t>
        </is>
      </c>
      <c r="D77" t="n">
        <v>80</v>
      </c>
      <c r="E77" t="inlineStr">
        <is>
          <t>Phorest POS software monthly subscription charges for 4-5 stations</t>
        </is>
      </c>
    </row>
    <row r="78">
      <c r="A78" t="inlineStr">
        <is>
          <t>Kuala Lumpur</t>
        </is>
      </c>
      <c r="B78" t="inlineStr">
        <is>
          <t>Admin &amp; SW</t>
        </is>
      </c>
      <c r="C78" t="inlineStr">
        <is>
          <t>Commercial Insurance, Bookkeeping &amp; Compliance</t>
        </is>
      </c>
      <c r="D78" t="n">
        <v>120</v>
      </c>
      <c r="E78" t="inlineStr">
        <is>
          <t>Local business insurance quote &amp; independent accountant retainer</t>
        </is>
      </c>
    </row>
    <row r="79">
      <c r="A79" t="inlineStr">
        <is>
          <t>Johor Bahru (RTS)</t>
        </is>
      </c>
      <c r="B79" t="inlineStr">
        <is>
          <t>Rent</t>
        </is>
      </c>
      <c r="C79" t="inlineStr">
        <is>
          <t>Base Commercial Rent (inc. service charges)</t>
        </is>
      </c>
      <c r="D79" t="n">
        <v>1700</v>
      </c>
      <c r="E79" t="inlineStr">
        <is>
          <t>Estimated prime retail rental rates for recommended locations</t>
        </is>
      </c>
    </row>
    <row r="80">
      <c r="A80" t="inlineStr">
        <is>
          <t>Johor Bahru (RTS)</t>
        </is>
      </c>
      <c r="B80" t="inlineStr">
        <is>
          <t>Staff Cost</t>
        </is>
      </c>
      <c r="C80" t="inlineStr">
        <is>
          <t>Senior Hair Stylist Salary (3 headcount)</t>
        </is>
      </c>
      <c r="D80" t="n">
        <v>2970</v>
      </c>
      <c r="E80" t="inlineStr">
        <is>
          <t>National Hairdresser Salary Survey for Senior Stylists (Base of $990.0/mo)</t>
        </is>
      </c>
    </row>
    <row r="81">
      <c r="A81" t="inlineStr">
        <is>
          <t>Johor Bahru (RTS)</t>
        </is>
      </c>
      <c r="B81" t="inlineStr">
        <is>
          <t>Staff Cost</t>
        </is>
      </c>
      <c r="C81" t="inlineStr">
        <is>
          <t>Junior Hair Stylist Salary (2 headcount)</t>
        </is>
      </c>
      <c r="D81" t="n">
        <v>1320</v>
      </c>
      <c r="E81" t="inlineStr">
        <is>
          <t>National Hairdresser Salary Survey for Junior Stylists (Base of $660.0/mo)</t>
        </is>
      </c>
    </row>
    <row r="82">
      <c r="A82" t="inlineStr">
        <is>
          <t>Johor Bahru (RTS)</t>
        </is>
      </c>
      <c r="B82" t="inlineStr">
        <is>
          <t>Staff Cost</t>
        </is>
      </c>
      <c r="C82" t="inlineStr">
        <is>
          <t>Stylist Assistants / Techs (3 headcount)</t>
        </is>
      </c>
      <c r="D82" t="n">
        <v>1452</v>
      </c>
      <c r="E82" t="inlineStr">
        <is>
          <t>National Hairdresser Salary Survey for Assistants (Base of $484.0/mo)</t>
        </is>
      </c>
    </row>
    <row r="83">
      <c r="A83" t="inlineStr">
        <is>
          <t>Johor Bahru (RTS)</t>
        </is>
      </c>
      <c r="B83" t="inlineStr">
        <is>
          <t>Staff Cost</t>
        </is>
      </c>
      <c r="C83" t="inlineStr">
        <is>
          <t>Salon Manager / Receptionist Salary (1 headcount)</t>
        </is>
      </c>
      <c r="D83" t="n">
        <v>1320</v>
      </c>
      <c r="E83" t="inlineStr">
        <is>
          <t>National Salary Survey for Salon Managers (Base of $1320.0/mo)</t>
        </is>
      </c>
    </row>
    <row r="84">
      <c r="A84" t="inlineStr">
        <is>
          <t>Johor Bahru (RTS)</t>
        </is>
      </c>
      <c r="B84" t="inlineStr">
        <is>
          <t>Utilities</t>
        </is>
      </c>
      <c r="C84" t="inlineStr">
        <is>
          <t>Electricity (AC, blowdryers, lighting)</t>
        </is>
      </c>
      <c r="D84" t="n">
        <v>360</v>
      </c>
      <c r="E84" t="inlineStr">
        <is>
          <t>Local electric power utility commercial tariff estimates</t>
        </is>
      </c>
    </row>
    <row r="85">
      <c r="A85" t="inlineStr">
        <is>
          <t>Johor Bahru (RTS)</t>
        </is>
      </c>
      <c r="B85" t="inlineStr">
        <is>
          <t>Utilities</t>
        </is>
      </c>
      <c r="C85" t="inlineStr">
        <is>
          <t>Water &amp; Filtration Replacement Filters</t>
        </is>
      </c>
      <c r="D85" t="n">
        <v>240</v>
      </c>
      <c r="E85" t="inlineStr">
        <is>
          <t>Local water utility charges and recurring demineralizer filters cost</t>
        </is>
      </c>
    </row>
    <row r="86">
      <c r="A86" t="inlineStr">
        <is>
          <t>Johor Bahru (RTS)</t>
        </is>
      </c>
      <c r="B86" t="inlineStr">
        <is>
          <t>Marketing &amp; Misc</t>
        </is>
      </c>
      <c r="C86" t="inlineStr">
        <is>
          <t>Localized Social Media Advertising (Meta, IG)</t>
        </is>
      </c>
      <c r="D86" t="n">
        <v>630</v>
      </c>
      <c r="E86" t="inlineStr">
        <is>
          <t>Local Facebook &amp; Instagram targeted advertising agency packages</t>
        </is>
      </c>
    </row>
    <row r="87">
      <c r="A87" t="inlineStr">
        <is>
          <t>Johor Bahru (RTS)</t>
        </is>
      </c>
      <c r="B87" t="inlineStr">
        <is>
          <t>Marketing &amp; Misc</t>
        </is>
      </c>
      <c r="C87" t="inlineStr">
        <is>
          <t>PR, Influencer (KOL) Invites &amp; Print Material</t>
        </is>
      </c>
      <c r="D87" t="n">
        <v>420</v>
      </c>
      <c r="E87" t="inlineStr">
        <is>
          <t>Launch month promotion campaign and graphic design print materials</t>
        </is>
      </c>
    </row>
    <row r="88">
      <c r="A88" t="inlineStr">
        <is>
          <t>Johor Bahru (RTS)</t>
        </is>
      </c>
      <c r="B88" t="inlineStr">
        <is>
          <t>Admin &amp; SW</t>
        </is>
      </c>
      <c r="C88" t="inlineStr">
        <is>
          <t>Salon Booking Software &amp; POS SaaS Subscription</t>
        </is>
      </c>
      <c r="D88" t="n">
        <v>80</v>
      </c>
      <c r="E88" t="inlineStr">
        <is>
          <t>Phorest POS software monthly subscription charges for 4-5 stations</t>
        </is>
      </c>
    </row>
    <row r="89">
      <c r="A89" t="inlineStr">
        <is>
          <t>Johor Bahru (RTS)</t>
        </is>
      </c>
      <c r="B89" t="inlineStr">
        <is>
          <t>Admin &amp; SW</t>
        </is>
      </c>
      <c r="C89" t="inlineStr">
        <is>
          <t>Commercial Insurance, Bookkeeping &amp; Compliance</t>
        </is>
      </c>
      <c r="D89" t="n">
        <v>120</v>
      </c>
      <c r="E89" t="inlineStr">
        <is>
          <t>Local business insurance quote &amp; independent accountant retainer</t>
        </is>
      </c>
    </row>
    <row r="90">
      <c r="A90" t="inlineStr">
        <is>
          <t>Penang</t>
        </is>
      </c>
      <c r="B90" t="inlineStr">
        <is>
          <t>Rent</t>
        </is>
      </c>
      <c r="C90" t="inlineStr">
        <is>
          <t>Base Commercial Rent (inc. service charges)</t>
        </is>
      </c>
      <c r="D90" t="n">
        <v>800</v>
      </c>
      <c r="E90" t="inlineStr">
        <is>
          <t>Estimated prime retail rental rates for recommended locations</t>
        </is>
      </c>
    </row>
    <row r="91">
      <c r="A91" t="inlineStr">
        <is>
          <t>Penang</t>
        </is>
      </c>
      <c r="B91" t="inlineStr">
        <is>
          <t>Staff Cost</t>
        </is>
      </c>
      <c r="C91" t="inlineStr">
        <is>
          <t>Senior Hair Stylist Salary (2 headcount)</t>
        </is>
      </c>
      <c r="D91" t="n">
        <v>1980</v>
      </c>
      <c r="E91" t="inlineStr">
        <is>
          <t>National Hairdresser Salary Survey for Senior Stylists (Base of $990.0/mo)</t>
        </is>
      </c>
    </row>
    <row r="92">
      <c r="A92" t="inlineStr">
        <is>
          <t>Penang</t>
        </is>
      </c>
      <c r="B92" t="inlineStr">
        <is>
          <t>Staff Cost</t>
        </is>
      </c>
      <c r="C92" t="inlineStr">
        <is>
          <t>Junior Hair Stylist Salary (2 headcount)</t>
        </is>
      </c>
      <c r="D92" t="n">
        <v>1320</v>
      </c>
      <c r="E92" t="inlineStr">
        <is>
          <t>National Hairdresser Salary Survey for Junior Stylists (Base of $660.0/mo)</t>
        </is>
      </c>
    </row>
    <row r="93">
      <c r="A93" t="inlineStr">
        <is>
          <t>Penang</t>
        </is>
      </c>
      <c r="B93" t="inlineStr">
        <is>
          <t>Staff Cost</t>
        </is>
      </c>
      <c r="C93" t="inlineStr">
        <is>
          <t>Stylist Assistants / Techs (2 headcount)</t>
        </is>
      </c>
      <c r="D93" t="n">
        <v>968</v>
      </c>
      <c r="E93" t="inlineStr">
        <is>
          <t>National Hairdresser Salary Survey for Assistants (Base of $484.0/mo)</t>
        </is>
      </c>
    </row>
    <row r="94">
      <c r="A94" t="inlineStr">
        <is>
          <t>Penang</t>
        </is>
      </c>
      <c r="B94" t="inlineStr">
        <is>
          <t>Staff Cost</t>
        </is>
      </c>
      <c r="C94" t="inlineStr">
        <is>
          <t>Salon Manager / Receptionist Salary (1 headcount)</t>
        </is>
      </c>
      <c r="D94" t="n">
        <v>1320</v>
      </c>
      <c r="E94" t="inlineStr">
        <is>
          <t>National Salary Survey for Salon Managers (Base of $1320.0/mo)</t>
        </is>
      </c>
    </row>
    <row r="95">
      <c r="A95" t="inlineStr">
        <is>
          <t>Penang</t>
        </is>
      </c>
      <c r="B95" t="inlineStr">
        <is>
          <t>Utilities</t>
        </is>
      </c>
      <c r="C95" t="inlineStr">
        <is>
          <t>Electricity (AC, blowdryers, lighting)</t>
        </is>
      </c>
      <c r="D95" t="n">
        <v>312</v>
      </c>
      <c r="E95" t="inlineStr">
        <is>
          <t>Local electric power utility commercial tariff estimates</t>
        </is>
      </c>
    </row>
    <row r="96">
      <c r="A96" t="inlineStr">
        <is>
          <t>Penang</t>
        </is>
      </c>
      <c r="B96" t="inlineStr">
        <is>
          <t>Utilities</t>
        </is>
      </c>
      <c r="C96" t="inlineStr">
        <is>
          <t>Water &amp; Filtration Replacement Filters</t>
        </is>
      </c>
      <c r="D96" t="n">
        <v>208</v>
      </c>
      <c r="E96" t="inlineStr">
        <is>
          <t>Local water utility charges and recurring demineralizer filters cost</t>
        </is>
      </c>
    </row>
    <row r="97">
      <c r="A97" t="inlineStr">
        <is>
          <t>Penang</t>
        </is>
      </c>
      <c r="B97" t="inlineStr">
        <is>
          <t>Marketing &amp; Misc</t>
        </is>
      </c>
      <c r="C97" t="inlineStr">
        <is>
          <t>Localized Social Media Advertising (Meta, IG)</t>
        </is>
      </c>
      <c r="D97" t="n">
        <v>582</v>
      </c>
      <c r="E97" t="inlineStr">
        <is>
          <t>Local Facebook &amp; Instagram targeted advertising agency packages</t>
        </is>
      </c>
    </row>
    <row r="98">
      <c r="A98" t="inlineStr">
        <is>
          <t>Penang</t>
        </is>
      </c>
      <c r="B98" t="inlineStr">
        <is>
          <t>Marketing &amp; Misc</t>
        </is>
      </c>
      <c r="C98" t="inlineStr">
        <is>
          <t>PR, Influencer (KOL) Invites &amp; Print Material</t>
        </is>
      </c>
      <c r="D98" t="n">
        <v>388</v>
      </c>
      <c r="E98" t="inlineStr">
        <is>
          <t>Launch month promotion campaign and graphic design print materials</t>
        </is>
      </c>
    </row>
    <row r="99">
      <c r="A99" t="inlineStr">
        <is>
          <t>Penang</t>
        </is>
      </c>
      <c r="B99" t="inlineStr">
        <is>
          <t>Admin &amp; SW</t>
        </is>
      </c>
      <c r="C99" t="inlineStr">
        <is>
          <t>Salon Booking Software &amp; POS SaaS Subscription</t>
        </is>
      </c>
      <c r="D99" t="n">
        <v>80</v>
      </c>
      <c r="E99" t="inlineStr">
        <is>
          <t>Phorest POS software monthly subscription charges for 4-5 stations</t>
        </is>
      </c>
    </row>
    <row r="100">
      <c r="A100" t="inlineStr">
        <is>
          <t>Penang</t>
        </is>
      </c>
      <c r="B100" t="inlineStr">
        <is>
          <t>Admin &amp; SW</t>
        </is>
      </c>
      <c r="C100" t="inlineStr">
        <is>
          <t>Commercial Insurance, Bookkeeping &amp; Compliance</t>
        </is>
      </c>
      <c r="D100" t="n">
        <v>120</v>
      </c>
      <c r="E100" t="inlineStr">
        <is>
          <t>Local business insurance quote &amp; independent accountant retainer</t>
        </is>
      </c>
    </row>
    <row r="101">
      <c r="A101" t="inlineStr">
        <is>
          <t>Sabah</t>
        </is>
      </c>
      <c r="B101" t="inlineStr">
        <is>
          <t>Rent</t>
        </is>
      </c>
      <c r="C101" t="inlineStr">
        <is>
          <t>Base Commercial Rent (inc. service charges)</t>
        </is>
      </c>
      <c r="D101" t="n">
        <v>900</v>
      </c>
      <c r="E101" t="inlineStr">
        <is>
          <t>Estimated prime retail rental rates for recommended locations</t>
        </is>
      </c>
    </row>
    <row r="102">
      <c r="A102" t="inlineStr">
        <is>
          <t>Sabah</t>
        </is>
      </c>
      <c r="B102" t="inlineStr">
        <is>
          <t>Staff Cost</t>
        </is>
      </c>
      <c r="C102" t="inlineStr">
        <is>
          <t>Senior Hair Stylist Salary (2 headcount)</t>
        </is>
      </c>
      <c r="D102" t="n">
        <v>1980</v>
      </c>
      <c r="E102" t="inlineStr">
        <is>
          <t>National Hairdresser Salary Survey for Senior Stylists (Base of $990.0/mo)</t>
        </is>
      </c>
    </row>
    <row r="103">
      <c r="A103" t="inlineStr">
        <is>
          <t>Sabah</t>
        </is>
      </c>
      <c r="B103" t="inlineStr">
        <is>
          <t>Staff Cost</t>
        </is>
      </c>
      <c r="C103" t="inlineStr">
        <is>
          <t>Junior Hair Stylist Salary (2 headcount)</t>
        </is>
      </c>
      <c r="D103" t="n">
        <v>1320</v>
      </c>
      <c r="E103" t="inlineStr">
        <is>
          <t>National Hairdresser Salary Survey for Junior Stylists (Base of $660.0/mo)</t>
        </is>
      </c>
    </row>
    <row r="104">
      <c r="A104" t="inlineStr">
        <is>
          <t>Sabah</t>
        </is>
      </c>
      <c r="B104" t="inlineStr">
        <is>
          <t>Staff Cost</t>
        </is>
      </c>
      <c r="C104" t="inlineStr">
        <is>
          <t>Stylist Assistants / Techs (2 headcount)</t>
        </is>
      </c>
      <c r="D104" t="n">
        <v>968</v>
      </c>
      <c r="E104" t="inlineStr">
        <is>
          <t>National Hairdresser Salary Survey for Assistants (Base of $484.0/mo)</t>
        </is>
      </c>
    </row>
    <row r="105">
      <c r="A105" t="inlineStr">
        <is>
          <t>Sabah</t>
        </is>
      </c>
      <c r="B105" t="inlineStr">
        <is>
          <t>Staff Cost</t>
        </is>
      </c>
      <c r="C105" t="inlineStr">
        <is>
          <t>Salon Manager / Receptionist Salary (1 headcount)</t>
        </is>
      </c>
      <c r="D105" t="n">
        <v>1320</v>
      </c>
      <c r="E105" t="inlineStr">
        <is>
          <t>National Salary Survey for Salon Managers (Base of $1320.0/mo)</t>
        </is>
      </c>
    </row>
    <row r="106">
      <c r="A106" t="inlineStr">
        <is>
          <t>Sabah</t>
        </is>
      </c>
      <c r="B106" t="inlineStr">
        <is>
          <t>Utilities</t>
        </is>
      </c>
      <c r="C106" t="inlineStr">
        <is>
          <t>Electricity (AC, blowdryers, lighting)</t>
        </is>
      </c>
      <c r="D106" t="n">
        <v>312</v>
      </c>
      <c r="E106" t="inlineStr">
        <is>
          <t>Local electric power utility commercial tariff estimates</t>
        </is>
      </c>
    </row>
    <row r="107">
      <c r="A107" t="inlineStr">
        <is>
          <t>Sabah</t>
        </is>
      </c>
      <c r="B107" t="inlineStr">
        <is>
          <t>Utilities</t>
        </is>
      </c>
      <c r="C107" t="inlineStr">
        <is>
          <t>Water &amp; Filtration Replacement Filters</t>
        </is>
      </c>
      <c r="D107" t="n">
        <v>208</v>
      </c>
      <c r="E107" t="inlineStr">
        <is>
          <t>Local water utility charges and recurring demineralizer filters cost</t>
        </is>
      </c>
    </row>
    <row r="108">
      <c r="A108" t="inlineStr">
        <is>
          <t>Sabah</t>
        </is>
      </c>
      <c r="B108" t="inlineStr">
        <is>
          <t>Marketing &amp; Misc</t>
        </is>
      </c>
      <c r="C108" t="inlineStr">
        <is>
          <t>Localized Social Media Advertising (Meta, IG)</t>
        </is>
      </c>
      <c r="D108" t="n">
        <v>582</v>
      </c>
      <c r="E108" t="inlineStr">
        <is>
          <t>Local Facebook &amp; Instagram targeted advertising agency packages</t>
        </is>
      </c>
    </row>
    <row r="109">
      <c r="A109" t="inlineStr">
        <is>
          <t>Sabah</t>
        </is>
      </c>
      <c r="B109" t="inlineStr">
        <is>
          <t>Marketing &amp; Misc</t>
        </is>
      </c>
      <c r="C109" t="inlineStr">
        <is>
          <t>PR, Influencer (KOL) Invites &amp; Print Material</t>
        </is>
      </c>
      <c r="D109" t="n">
        <v>388</v>
      </c>
      <c r="E109" t="inlineStr">
        <is>
          <t>Launch month promotion campaign and graphic design print materials</t>
        </is>
      </c>
    </row>
    <row r="110">
      <c r="A110" t="inlineStr">
        <is>
          <t>Sabah</t>
        </is>
      </c>
      <c r="B110" t="inlineStr">
        <is>
          <t>Admin &amp; SW</t>
        </is>
      </c>
      <c r="C110" t="inlineStr">
        <is>
          <t>Salon Booking Software &amp; POS SaaS Subscription</t>
        </is>
      </c>
      <c r="D110" t="n">
        <v>80</v>
      </c>
      <c r="E110" t="inlineStr">
        <is>
          <t>Phorest POS software monthly subscription charges for 4-5 stations</t>
        </is>
      </c>
    </row>
    <row r="111">
      <c r="A111" t="inlineStr">
        <is>
          <t>Sabah</t>
        </is>
      </c>
      <c r="B111" t="inlineStr">
        <is>
          <t>Admin &amp; SW</t>
        </is>
      </c>
      <c r="C111" t="inlineStr">
        <is>
          <t>Commercial Insurance, Bookkeeping &amp; Compliance</t>
        </is>
      </c>
      <c r="D111" t="n">
        <v>120</v>
      </c>
      <c r="E111" t="inlineStr">
        <is>
          <t>Local business insurance quote &amp; independent accountant retainer</t>
        </is>
      </c>
    </row>
    <row r="112">
      <c r="A112" t="inlineStr">
        <is>
          <t>Sarawak</t>
        </is>
      </c>
      <c r="B112" t="inlineStr">
        <is>
          <t>Rent</t>
        </is>
      </c>
      <c r="C112" t="inlineStr">
        <is>
          <t>Base Commercial Rent (inc. service charges)</t>
        </is>
      </c>
      <c r="D112" t="n">
        <v>700</v>
      </c>
      <c r="E112" t="inlineStr">
        <is>
          <t>Estimated prime retail rental rates for recommended locations</t>
        </is>
      </c>
    </row>
    <row r="113">
      <c r="A113" t="inlineStr">
        <is>
          <t>Sarawak</t>
        </is>
      </c>
      <c r="B113" t="inlineStr">
        <is>
          <t>Staff Cost</t>
        </is>
      </c>
      <c r="C113" t="inlineStr">
        <is>
          <t>Senior Hair Stylist Salary (2 headcount)</t>
        </is>
      </c>
      <c r="D113" t="n">
        <v>1980</v>
      </c>
      <c r="E113" t="inlineStr">
        <is>
          <t>National Hairdresser Salary Survey for Senior Stylists (Base of $990.0/mo)</t>
        </is>
      </c>
    </row>
    <row r="114">
      <c r="A114" t="inlineStr">
        <is>
          <t>Sarawak</t>
        </is>
      </c>
      <c r="B114" t="inlineStr">
        <is>
          <t>Staff Cost</t>
        </is>
      </c>
      <c r="C114" t="inlineStr">
        <is>
          <t>Junior Hair Stylist Salary (2 headcount)</t>
        </is>
      </c>
      <c r="D114" t="n">
        <v>1320</v>
      </c>
      <c r="E114" t="inlineStr">
        <is>
          <t>National Hairdresser Salary Survey for Junior Stylists (Base of $660.0/mo)</t>
        </is>
      </c>
    </row>
    <row r="115">
      <c r="A115" t="inlineStr">
        <is>
          <t>Sarawak</t>
        </is>
      </c>
      <c r="B115" t="inlineStr">
        <is>
          <t>Staff Cost</t>
        </is>
      </c>
      <c r="C115" t="inlineStr">
        <is>
          <t>Stylist Assistants / Techs (2 headcount)</t>
        </is>
      </c>
      <c r="D115" t="n">
        <v>968</v>
      </c>
      <c r="E115" t="inlineStr">
        <is>
          <t>National Hairdresser Salary Survey for Assistants (Base of $484.0/mo)</t>
        </is>
      </c>
    </row>
    <row r="116">
      <c r="A116" t="inlineStr">
        <is>
          <t>Sarawak</t>
        </is>
      </c>
      <c r="B116" t="inlineStr">
        <is>
          <t>Staff Cost</t>
        </is>
      </c>
      <c r="C116" t="inlineStr">
        <is>
          <t>Salon Manager / Receptionist Salary (1 headcount)</t>
        </is>
      </c>
      <c r="D116" t="n">
        <v>1320</v>
      </c>
      <c r="E116" t="inlineStr">
        <is>
          <t>National Salary Survey for Salon Managers (Base of $1320.0/mo)</t>
        </is>
      </c>
    </row>
    <row r="117">
      <c r="A117" t="inlineStr">
        <is>
          <t>Sarawak</t>
        </is>
      </c>
      <c r="B117" t="inlineStr">
        <is>
          <t>Utilities</t>
        </is>
      </c>
      <c r="C117" t="inlineStr">
        <is>
          <t>Electricity (AC, blowdryers, lighting)</t>
        </is>
      </c>
      <c r="D117" t="n">
        <v>312</v>
      </c>
      <c r="E117" t="inlineStr">
        <is>
          <t>Local electric power utility commercial tariff estimates</t>
        </is>
      </c>
    </row>
    <row r="118">
      <c r="A118" t="inlineStr">
        <is>
          <t>Sarawak</t>
        </is>
      </c>
      <c r="B118" t="inlineStr">
        <is>
          <t>Utilities</t>
        </is>
      </c>
      <c r="C118" t="inlineStr">
        <is>
          <t>Water &amp; Filtration Replacement Filters</t>
        </is>
      </c>
      <c r="D118" t="n">
        <v>208</v>
      </c>
      <c r="E118" t="inlineStr">
        <is>
          <t>Local water utility charges and recurring demineralizer filters cost</t>
        </is>
      </c>
    </row>
    <row r="119">
      <c r="A119" t="inlineStr">
        <is>
          <t>Sarawak</t>
        </is>
      </c>
      <c r="B119" t="inlineStr">
        <is>
          <t>Marketing &amp; Misc</t>
        </is>
      </c>
      <c r="C119" t="inlineStr">
        <is>
          <t>Localized Social Media Advertising (Meta, IG)</t>
        </is>
      </c>
      <c r="D119" t="n">
        <v>582</v>
      </c>
      <c r="E119" t="inlineStr">
        <is>
          <t>Local Facebook &amp; Instagram targeted advertising agency packages</t>
        </is>
      </c>
    </row>
    <row r="120">
      <c r="A120" t="inlineStr">
        <is>
          <t>Sarawak</t>
        </is>
      </c>
      <c r="B120" t="inlineStr">
        <is>
          <t>Marketing &amp; Misc</t>
        </is>
      </c>
      <c r="C120" t="inlineStr">
        <is>
          <t>PR, Influencer (KOL) Invites &amp; Print Material</t>
        </is>
      </c>
      <c r="D120" t="n">
        <v>388</v>
      </c>
      <c r="E120" t="inlineStr">
        <is>
          <t>Launch month promotion campaign and graphic design print materials</t>
        </is>
      </c>
    </row>
    <row r="121">
      <c r="A121" t="inlineStr">
        <is>
          <t>Sarawak</t>
        </is>
      </c>
      <c r="B121" t="inlineStr">
        <is>
          <t>Admin &amp; SW</t>
        </is>
      </c>
      <c r="C121" t="inlineStr">
        <is>
          <t>Salon Booking Software &amp; POS SaaS Subscription</t>
        </is>
      </c>
      <c r="D121" t="n">
        <v>80</v>
      </c>
      <c r="E121" t="inlineStr">
        <is>
          <t>Phorest POS software monthly subscription charges for 4-5 stations</t>
        </is>
      </c>
    </row>
    <row r="122">
      <c r="A122" t="inlineStr">
        <is>
          <t>Sarawak</t>
        </is>
      </c>
      <c r="B122" t="inlineStr">
        <is>
          <t>Admin &amp; SW</t>
        </is>
      </c>
      <c r="C122" t="inlineStr">
        <is>
          <t>Commercial Insurance, Bookkeeping &amp; Compliance</t>
        </is>
      </c>
      <c r="D122" t="n">
        <v>120</v>
      </c>
      <c r="E122" t="inlineStr">
        <is>
          <t>Local business insurance quote &amp; independent accountant retainer</t>
        </is>
      </c>
    </row>
    <row r="123">
      <c r="A123" t="inlineStr">
        <is>
          <t>Singapore</t>
        </is>
      </c>
      <c r="B123" t="inlineStr">
        <is>
          <t>Rent</t>
        </is>
      </c>
      <c r="C123" t="inlineStr">
        <is>
          <t>Base Commercial Rent (inc. service charges)</t>
        </is>
      </c>
      <c r="D123" t="n">
        <v>5500</v>
      </c>
      <c r="E123" t="inlineStr">
        <is>
          <t>Estimated prime retail rental rates for recommended locations</t>
        </is>
      </c>
    </row>
    <row r="124">
      <c r="A124" t="inlineStr">
        <is>
          <t>Singapore</t>
        </is>
      </c>
      <c r="B124" t="inlineStr">
        <is>
          <t>Staff Cost</t>
        </is>
      </c>
      <c r="C124" t="inlineStr">
        <is>
          <t>Senior Hair Stylist Salary (2 headcount)</t>
        </is>
      </c>
      <c r="D124" t="n">
        <v>6660</v>
      </c>
      <c r="E124" t="inlineStr">
        <is>
          <t>National Hairdresser Salary Survey for Senior Stylists (Base of $3330.0/mo)</t>
        </is>
      </c>
    </row>
    <row r="125">
      <c r="A125" t="inlineStr">
        <is>
          <t>Singapore</t>
        </is>
      </c>
      <c r="B125" t="inlineStr">
        <is>
          <t>Staff Cost</t>
        </is>
      </c>
      <c r="C125" t="inlineStr">
        <is>
          <t>Junior Hair Stylist Salary (1 headcount)</t>
        </is>
      </c>
      <c r="D125" t="n">
        <v>2480</v>
      </c>
      <c r="E125" t="inlineStr">
        <is>
          <t>National Hairdresser Salary Survey for Junior Stylists (Base of $2480.0/mo)</t>
        </is>
      </c>
    </row>
    <row r="126">
      <c r="A126" t="inlineStr">
        <is>
          <t>Singapore</t>
        </is>
      </c>
      <c r="B126" t="inlineStr">
        <is>
          <t>Staff Cost</t>
        </is>
      </c>
      <c r="C126" t="inlineStr">
        <is>
          <t>Stylist Assistants / Techs (2 headcount)</t>
        </is>
      </c>
      <c r="D126" t="n">
        <v>3700</v>
      </c>
      <c r="E126" t="inlineStr">
        <is>
          <t>National Hairdresser Salary Survey for Assistants (Base of $1850.0/mo)</t>
        </is>
      </c>
    </row>
    <row r="127">
      <c r="A127" t="inlineStr">
        <is>
          <t>Singapore</t>
        </is>
      </c>
      <c r="B127" t="inlineStr">
        <is>
          <t>Staff Cost</t>
        </is>
      </c>
      <c r="C127" t="inlineStr">
        <is>
          <t>Salon Manager / Receptionist Salary (1 headcount)</t>
        </is>
      </c>
      <c r="D127" t="n">
        <v>4440</v>
      </c>
      <c r="E127" t="inlineStr">
        <is>
          <t>National Salary Survey for Salon Managers (Base of $4440.0/mo)</t>
        </is>
      </c>
    </row>
    <row r="128">
      <c r="A128" t="inlineStr">
        <is>
          <t>Singapore</t>
        </is>
      </c>
      <c r="B128" t="inlineStr">
        <is>
          <t>Utilities</t>
        </is>
      </c>
      <c r="C128" t="inlineStr">
        <is>
          <t>Electricity (AC, blowdryers, lighting)</t>
        </is>
      </c>
      <c r="D128" t="n">
        <v>264</v>
      </c>
      <c r="E128" t="inlineStr">
        <is>
          <t>Local electric power utility commercial tariff estimates</t>
        </is>
      </c>
    </row>
    <row r="129">
      <c r="A129" t="inlineStr">
        <is>
          <t>Singapore</t>
        </is>
      </c>
      <c r="B129" t="inlineStr">
        <is>
          <t>Utilities</t>
        </is>
      </c>
      <c r="C129" t="inlineStr">
        <is>
          <t>Water &amp; Filtration Replacement Filters</t>
        </is>
      </c>
      <c r="D129" t="n">
        <v>176</v>
      </c>
      <c r="E129" t="inlineStr">
        <is>
          <t>Local water utility charges and recurring demineralizer filters cost</t>
        </is>
      </c>
    </row>
    <row r="130">
      <c r="A130" t="inlineStr">
        <is>
          <t>Singapore</t>
        </is>
      </c>
      <c r="B130" t="inlineStr">
        <is>
          <t>Marketing &amp; Misc</t>
        </is>
      </c>
      <c r="C130" t="inlineStr">
        <is>
          <t>Localized Social Media Advertising (Meta, IG)</t>
        </is>
      </c>
      <c r="D130" t="n">
        <v>534</v>
      </c>
      <c r="E130" t="inlineStr">
        <is>
          <t>Local Facebook &amp; Instagram targeted advertising agency packages</t>
        </is>
      </c>
    </row>
    <row r="131">
      <c r="A131" t="inlineStr">
        <is>
          <t>Singapore</t>
        </is>
      </c>
      <c r="B131" t="inlineStr">
        <is>
          <t>Marketing &amp; Misc</t>
        </is>
      </c>
      <c r="C131" t="inlineStr">
        <is>
          <t>PR, Influencer (KOL) Invites &amp; Print Material</t>
        </is>
      </c>
      <c r="D131" t="n">
        <v>356</v>
      </c>
      <c r="E131" t="inlineStr">
        <is>
          <t>Launch month promotion campaign and graphic design print materials</t>
        </is>
      </c>
    </row>
    <row r="132">
      <c r="A132" t="inlineStr">
        <is>
          <t>Singapore</t>
        </is>
      </c>
      <c r="B132" t="inlineStr">
        <is>
          <t>Admin &amp; SW</t>
        </is>
      </c>
      <c r="C132" t="inlineStr">
        <is>
          <t>Salon Booking Software &amp; POS SaaS Subscription</t>
        </is>
      </c>
      <c r="D132" t="n">
        <v>120</v>
      </c>
      <c r="E132" t="inlineStr">
        <is>
          <t>Phorest POS software monthly subscription charges for 4-5 stations</t>
        </is>
      </c>
    </row>
    <row r="133">
      <c r="A133" t="inlineStr">
        <is>
          <t>Singapore</t>
        </is>
      </c>
      <c r="B133" t="inlineStr">
        <is>
          <t>Admin &amp; SW</t>
        </is>
      </c>
      <c r="C133" t="inlineStr">
        <is>
          <t>Commercial Insurance, Bookkeeping &amp; Compliance</t>
        </is>
      </c>
      <c r="D133" t="n">
        <v>180</v>
      </c>
      <c r="E133" t="inlineStr">
        <is>
          <t>Local business insurance quote &amp; independent accountant retainer</t>
        </is>
      </c>
    </row>
    <row r="134">
      <c r="A134" t="inlineStr">
        <is>
          <t>Hong Kong</t>
        </is>
      </c>
      <c r="B134" t="inlineStr">
        <is>
          <t>Rent</t>
        </is>
      </c>
      <c r="C134" t="inlineStr">
        <is>
          <t>Base Commercial Rent (inc. service charges)</t>
        </is>
      </c>
      <c r="D134" t="n">
        <v>8500</v>
      </c>
      <c r="E134" t="inlineStr">
        <is>
          <t>Estimated prime retail rental rates for recommended locations</t>
        </is>
      </c>
    </row>
    <row r="135">
      <c r="A135" t="inlineStr">
        <is>
          <t>Hong Kong</t>
        </is>
      </c>
      <c r="B135" t="inlineStr">
        <is>
          <t>Staff Cost</t>
        </is>
      </c>
      <c r="C135" t="inlineStr">
        <is>
          <t>Senior Hair Stylist Salary (2 headcount)</t>
        </is>
      </c>
      <c r="D135" t="n">
        <v>4864</v>
      </c>
      <c r="E135" t="inlineStr">
        <is>
          <t>National Hairdresser Salary Survey for Senior Stylists (Base of $2432.0/mo)</t>
        </is>
      </c>
    </row>
    <row r="136">
      <c r="A136" t="inlineStr">
        <is>
          <t>Hong Kong</t>
        </is>
      </c>
      <c r="B136" t="inlineStr">
        <is>
          <t>Staff Cost</t>
        </is>
      </c>
      <c r="C136" t="inlineStr">
        <is>
          <t>Junior Hair Stylist Salary (1 headcount)</t>
        </is>
      </c>
      <c r="D136" t="n">
        <v>1792</v>
      </c>
      <c r="E136" t="inlineStr">
        <is>
          <t>National Hairdresser Salary Survey for Junior Stylists (Base of $1792.0/mo)</t>
        </is>
      </c>
    </row>
    <row r="137">
      <c r="A137" t="inlineStr">
        <is>
          <t>Hong Kong</t>
        </is>
      </c>
      <c r="B137" t="inlineStr">
        <is>
          <t>Staff Cost</t>
        </is>
      </c>
      <c r="C137" t="inlineStr">
        <is>
          <t>Stylist Assistants / Techs (2 headcount)</t>
        </is>
      </c>
      <c r="D137" t="n">
        <v>3328</v>
      </c>
      <c r="E137" t="inlineStr">
        <is>
          <t>National Hairdresser Salary Survey for Assistants (Base of $1664.0/mo)</t>
        </is>
      </c>
    </row>
    <row r="138">
      <c r="A138" t="inlineStr">
        <is>
          <t>Hong Kong</t>
        </is>
      </c>
      <c r="B138" t="inlineStr">
        <is>
          <t>Staff Cost</t>
        </is>
      </c>
      <c r="C138" t="inlineStr">
        <is>
          <t>Salon Manager / Receptionist Salary (1 headcount)</t>
        </is>
      </c>
      <c r="D138" t="n">
        <v>3072</v>
      </c>
      <c r="E138" t="inlineStr">
        <is>
          <t>National Salary Survey for Salon Managers (Base of $3072.0/mo)</t>
        </is>
      </c>
    </row>
    <row r="139">
      <c r="A139" t="inlineStr">
        <is>
          <t>Hong Kong</t>
        </is>
      </c>
      <c r="B139" t="inlineStr">
        <is>
          <t>Utilities</t>
        </is>
      </c>
      <c r="C139" t="inlineStr">
        <is>
          <t>Electricity (AC, blowdryers, lighting)</t>
        </is>
      </c>
      <c r="D139" t="n">
        <v>264</v>
      </c>
      <c r="E139" t="inlineStr">
        <is>
          <t>Local electric power utility commercial tariff estimates</t>
        </is>
      </c>
    </row>
    <row r="140">
      <c r="A140" t="inlineStr">
        <is>
          <t>Hong Kong</t>
        </is>
      </c>
      <c r="B140" t="inlineStr">
        <is>
          <t>Utilities</t>
        </is>
      </c>
      <c r="C140" t="inlineStr">
        <is>
          <t>Water &amp; Filtration Replacement Filters</t>
        </is>
      </c>
      <c r="D140" t="n">
        <v>176</v>
      </c>
      <c r="E140" t="inlineStr">
        <is>
          <t>Local water utility charges and recurring demineralizer filters cost</t>
        </is>
      </c>
    </row>
    <row r="141">
      <c r="A141" t="inlineStr">
        <is>
          <t>Hong Kong</t>
        </is>
      </c>
      <c r="B141" t="inlineStr">
        <is>
          <t>Marketing &amp; Misc</t>
        </is>
      </c>
      <c r="C141" t="inlineStr">
        <is>
          <t>Localized Social Media Advertising (Meta, IG)</t>
        </is>
      </c>
      <c r="D141" t="n">
        <v>534</v>
      </c>
      <c r="E141" t="inlineStr">
        <is>
          <t>Local Facebook &amp; Instagram targeted advertising agency packages</t>
        </is>
      </c>
    </row>
    <row r="142">
      <c r="A142" t="inlineStr">
        <is>
          <t>Hong Kong</t>
        </is>
      </c>
      <c r="B142" t="inlineStr">
        <is>
          <t>Marketing &amp; Misc</t>
        </is>
      </c>
      <c r="C142" t="inlineStr">
        <is>
          <t>PR, Influencer (KOL) Invites &amp; Print Material</t>
        </is>
      </c>
      <c r="D142" t="n">
        <v>356</v>
      </c>
      <c r="E142" t="inlineStr">
        <is>
          <t>Launch month promotion campaign and graphic design print materials</t>
        </is>
      </c>
    </row>
    <row r="143">
      <c r="A143" t="inlineStr">
        <is>
          <t>Hong Kong</t>
        </is>
      </c>
      <c r="B143" t="inlineStr">
        <is>
          <t>Admin &amp; SW</t>
        </is>
      </c>
      <c r="C143" t="inlineStr">
        <is>
          <t>Salon Booking Software &amp; POS SaaS Subscription</t>
        </is>
      </c>
      <c r="D143" t="n">
        <v>120</v>
      </c>
      <c r="E143" t="inlineStr">
        <is>
          <t>Phorest POS software monthly subscription charges for 4-5 stations</t>
        </is>
      </c>
    </row>
    <row r="144">
      <c r="A144" t="inlineStr">
        <is>
          <t>Hong Kong</t>
        </is>
      </c>
      <c r="B144" t="inlineStr">
        <is>
          <t>Admin &amp; SW</t>
        </is>
      </c>
      <c r="C144" t="inlineStr">
        <is>
          <t>Commercial Insurance, Bookkeeping &amp; Compliance</t>
        </is>
      </c>
      <c r="D144" t="n">
        <v>180</v>
      </c>
      <c r="E144" t="inlineStr">
        <is>
          <t>Local business insurance quote &amp; independent accountant retainer</t>
        </is>
      </c>
    </row>
    <row r="145">
      <c r="A145" t="inlineStr">
        <is>
          <t>Bangkok</t>
        </is>
      </c>
      <c r="B145" t="inlineStr">
        <is>
          <t>Rent</t>
        </is>
      </c>
      <c r="C145" t="inlineStr">
        <is>
          <t>Base Commercial Rent (inc. service charges)</t>
        </is>
      </c>
      <c r="D145" t="n">
        <v>5000</v>
      </c>
      <c r="E145" t="inlineStr">
        <is>
          <t>Estimated prime retail rental rates for recommended locations</t>
        </is>
      </c>
    </row>
    <row r="146">
      <c r="A146" t="inlineStr">
        <is>
          <t>Bangkok</t>
        </is>
      </c>
      <c r="B146" t="inlineStr">
        <is>
          <t>Staff Cost</t>
        </is>
      </c>
      <c r="C146" t="inlineStr">
        <is>
          <t>Senior Hair Stylist Salary (2 headcount)</t>
        </is>
      </c>
      <c r="D146" t="n">
        <v>2610</v>
      </c>
      <c r="E146" t="inlineStr">
        <is>
          <t>National Hairdresser Salary Survey for Senior Stylists (Base of $1305.0/mo)</t>
        </is>
      </c>
    </row>
    <row r="147">
      <c r="A147" t="inlineStr">
        <is>
          <t>Bangkok</t>
        </is>
      </c>
      <c r="B147" t="inlineStr">
        <is>
          <t>Staff Cost</t>
        </is>
      </c>
      <c r="C147" t="inlineStr">
        <is>
          <t>Junior Hair Stylist Salary (2 headcount)</t>
        </is>
      </c>
      <c r="D147" t="n">
        <v>1740</v>
      </c>
      <c r="E147" t="inlineStr">
        <is>
          <t>National Hairdresser Salary Survey for Junior Stylists (Base of $870.0/mo)</t>
        </is>
      </c>
    </row>
    <row r="148">
      <c r="A148" t="inlineStr">
        <is>
          <t>Bangkok</t>
        </is>
      </c>
      <c r="B148" t="inlineStr">
        <is>
          <t>Staff Cost</t>
        </is>
      </c>
      <c r="C148" t="inlineStr">
        <is>
          <t>Stylist Assistants / Techs (2 headcount)</t>
        </is>
      </c>
      <c r="D148" t="n">
        <v>1276</v>
      </c>
      <c r="E148" t="inlineStr">
        <is>
          <t>National Hairdresser Salary Survey for Assistants (Base of $638.0/mo)</t>
        </is>
      </c>
    </row>
    <row r="149">
      <c r="A149" t="inlineStr">
        <is>
          <t>Bangkok</t>
        </is>
      </c>
      <c r="B149" t="inlineStr">
        <is>
          <t>Staff Cost</t>
        </is>
      </c>
      <c r="C149" t="inlineStr">
        <is>
          <t>Salon Manager / Receptionist Salary (1 headcount)</t>
        </is>
      </c>
      <c r="D149" t="n">
        <v>1740</v>
      </c>
      <c r="E149" t="inlineStr">
        <is>
          <t>National Salary Survey for Salon Managers (Base of $1740.0/mo)</t>
        </is>
      </c>
    </row>
    <row r="150">
      <c r="A150" t="inlineStr">
        <is>
          <t>Bangkok</t>
        </is>
      </c>
      <c r="B150" t="inlineStr">
        <is>
          <t>Utilities</t>
        </is>
      </c>
      <c r="C150" t="inlineStr">
        <is>
          <t>Electricity (AC, blowdryers, lighting)</t>
        </is>
      </c>
      <c r="D150" t="n">
        <v>312</v>
      </c>
      <c r="E150" t="inlineStr">
        <is>
          <t>Local electric power utility commercial tariff estimates</t>
        </is>
      </c>
    </row>
    <row r="151">
      <c r="A151" t="inlineStr">
        <is>
          <t>Bangkok</t>
        </is>
      </c>
      <c r="B151" t="inlineStr">
        <is>
          <t>Utilities</t>
        </is>
      </c>
      <c r="C151" t="inlineStr">
        <is>
          <t>Water &amp; Filtration Replacement Filters</t>
        </is>
      </c>
      <c r="D151" t="n">
        <v>208</v>
      </c>
      <c r="E151" t="inlineStr">
        <is>
          <t>Local water utility charges and recurring demineralizer filters cost</t>
        </is>
      </c>
    </row>
    <row r="152">
      <c r="A152" t="inlineStr">
        <is>
          <t>Bangkok</t>
        </is>
      </c>
      <c r="B152" t="inlineStr">
        <is>
          <t>Marketing &amp; Misc</t>
        </is>
      </c>
      <c r="C152" t="inlineStr">
        <is>
          <t>Localized Social Media Advertising (Meta, IG)</t>
        </is>
      </c>
      <c r="D152" t="n">
        <v>582</v>
      </c>
      <c r="E152" t="inlineStr">
        <is>
          <t>Local Facebook &amp; Instagram targeted advertising agency packages</t>
        </is>
      </c>
    </row>
    <row r="153">
      <c r="A153" t="inlineStr">
        <is>
          <t>Bangkok</t>
        </is>
      </c>
      <c r="B153" t="inlineStr">
        <is>
          <t>Marketing &amp; Misc</t>
        </is>
      </c>
      <c r="C153" t="inlineStr">
        <is>
          <t>PR, Influencer (KOL) Invites &amp; Print Material</t>
        </is>
      </c>
      <c r="D153" t="n">
        <v>388</v>
      </c>
      <c r="E153" t="inlineStr">
        <is>
          <t>Launch month promotion campaign and graphic design print materials</t>
        </is>
      </c>
    </row>
    <row r="154">
      <c r="A154" t="inlineStr">
        <is>
          <t>Bangkok</t>
        </is>
      </c>
      <c r="B154" t="inlineStr">
        <is>
          <t>Admin &amp; SW</t>
        </is>
      </c>
      <c r="C154" t="inlineStr">
        <is>
          <t>Salon Booking Software &amp; POS SaaS Subscription</t>
        </is>
      </c>
      <c r="D154" t="n">
        <v>80</v>
      </c>
      <c r="E154" t="inlineStr">
        <is>
          <t>Phorest POS software monthly subscription charges for 4-5 stations</t>
        </is>
      </c>
    </row>
    <row r="155">
      <c r="A155" t="inlineStr">
        <is>
          <t>Bangkok</t>
        </is>
      </c>
      <c r="B155" t="inlineStr">
        <is>
          <t>Admin &amp; SW</t>
        </is>
      </c>
      <c r="C155" t="inlineStr">
        <is>
          <t>Commercial Insurance, Bookkeeping &amp; Compliance</t>
        </is>
      </c>
      <c r="D155" t="n">
        <v>120</v>
      </c>
      <c r="E155" t="inlineStr">
        <is>
          <t>Local business insurance quote &amp; independent accountant retainer</t>
        </is>
      </c>
    </row>
    <row r="156">
      <c r="A156" t="inlineStr">
        <is>
          <t>Macau</t>
        </is>
      </c>
      <c r="B156" t="inlineStr">
        <is>
          <t>Rent</t>
        </is>
      </c>
      <c r="C156" t="inlineStr">
        <is>
          <t>Base Commercial Rent (inc. service charges)</t>
        </is>
      </c>
      <c r="D156" t="n">
        <v>1800</v>
      </c>
      <c r="E156" t="inlineStr">
        <is>
          <t>Estimated prime retail rental rates for recommended locations</t>
        </is>
      </c>
    </row>
    <row r="157">
      <c r="A157" t="inlineStr">
        <is>
          <t>Macau</t>
        </is>
      </c>
      <c r="B157" t="inlineStr">
        <is>
          <t>Staff Cost</t>
        </is>
      </c>
      <c r="C157" t="inlineStr">
        <is>
          <t>Senior Hair Stylist Salary (2 headcount)</t>
        </is>
      </c>
      <c r="D157" t="n">
        <v>4608</v>
      </c>
      <c r="E157" t="inlineStr">
        <is>
          <t>National Hairdresser Salary Survey for Senior Stylists (Base of $2304.0/mo)</t>
        </is>
      </c>
    </row>
    <row r="158">
      <c r="A158" t="inlineStr">
        <is>
          <t>Macau</t>
        </is>
      </c>
      <c r="B158" t="inlineStr">
        <is>
          <t>Staff Cost</t>
        </is>
      </c>
      <c r="C158" t="inlineStr">
        <is>
          <t>Junior Hair Stylist Salary (1 headcount)</t>
        </is>
      </c>
      <c r="D158" t="n">
        <v>1536</v>
      </c>
      <c r="E158" t="inlineStr">
        <is>
          <t>National Hairdresser Salary Survey for Junior Stylists (Base of $1536.0/mo)</t>
        </is>
      </c>
    </row>
    <row r="159">
      <c r="A159" t="inlineStr">
        <is>
          <t>Macau</t>
        </is>
      </c>
      <c r="B159" t="inlineStr">
        <is>
          <t>Staff Cost</t>
        </is>
      </c>
      <c r="C159" t="inlineStr">
        <is>
          <t>Stylist Assistants / Techs (2 headcount)</t>
        </is>
      </c>
      <c r="D159" t="n">
        <v>3072</v>
      </c>
      <c r="E159" t="inlineStr">
        <is>
          <t>National Hairdresser Salary Survey for Assistants (Base of $1536.0/mo)</t>
        </is>
      </c>
    </row>
    <row r="160">
      <c r="A160" t="inlineStr">
        <is>
          <t>Macau</t>
        </is>
      </c>
      <c r="B160" t="inlineStr">
        <is>
          <t>Staff Cost</t>
        </is>
      </c>
      <c r="C160" t="inlineStr">
        <is>
          <t>Salon Manager / Receptionist Salary (1 headcount)</t>
        </is>
      </c>
      <c r="D160" t="n">
        <v>2816</v>
      </c>
      <c r="E160" t="inlineStr">
        <is>
          <t>National Salary Survey for Salon Managers (Base of $2816.0/mo)</t>
        </is>
      </c>
    </row>
    <row r="161">
      <c r="A161" t="inlineStr">
        <is>
          <t>Macau</t>
        </is>
      </c>
      <c r="B161" t="inlineStr">
        <is>
          <t>Utilities</t>
        </is>
      </c>
      <c r="C161" t="inlineStr">
        <is>
          <t>Electricity (AC, blowdryers, lighting)</t>
        </is>
      </c>
      <c r="D161" t="n">
        <v>264</v>
      </c>
      <c r="E161" t="inlineStr">
        <is>
          <t>Local electric power utility commercial tariff estimates</t>
        </is>
      </c>
    </row>
    <row r="162">
      <c r="A162" t="inlineStr">
        <is>
          <t>Macau</t>
        </is>
      </c>
      <c r="B162" t="inlineStr">
        <is>
          <t>Utilities</t>
        </is>
      </c>
      <c r="C162" t="inlineStr">
        <is>
          <t>Water &amp; Filtration Replacement Filters</t>
        </is>
      </c>
      <c r="D162" t="n">
        <v>176</v>
      </c>
      <c r="E162" t="inlineStr">
        <is>
          <t>Local water utility charges and recurring demineralizer filters cost</t>
        </is>
      </c>
    </row>
    <row r="163">
      <c r="A163" t="inlineStr">
        <is>
          <t>Macau</t>
        </is>
      </c>
      <c r="B163" t="inlineStr">
        <is>
          <t>Marketing &amp; Misc</t>
        </is>
      </c>
      <c r="C163" t="inlineStr">
        <is>
          <t>Localized Social Media Advertising (Meta, IG)</t>
        </is>
      </c>
      <c r="D163" t="n">
        <v>534</v>
      </c>
      <c r="E163" t="inlineStr">
        <is>
          <t>Local Facebook &amp; Instagram targeted advertising agency packages</t>
        </is>
      </c>
    </row>
    <row r="164">
      <c r="A164" t="inlineStr">
        <is>
          <t>Macau</t>
        </is>
      </c>
      <c r="B164" t="inlineStr">
        <is>
          <t>Marketing &amp; Misc</t>
        </is>
      </c>
      <c r="C164" t="inlineStr">
        <is>
          <t>PR, Influencer (KOL) Invites &amp; Print Material</t>
        </is>
      </c>
      <c r="D164" t="n">
        <v>356</v>
      </c>
      <c r="E164" t="inlineStr">
        <is>
          <t>Launch month promotion campaign and graphic design print materials</t>
        </is>
      </c>
    </row>
    <row r="165">
      <c r="A165" t="inlineStr">
        <is>
          <t>Macau</t>
        </is>
      </c>
      <c r="B165" t="inlineStr">
        <is>
          <t>Admin &amp; SW</t>
        </is>
      </c>
      <c r="C165" t="inlineStr">
        <is>
          <t>Salon Booking Software &amp; POS SaaS Subscription</t>
        </is>
      </c>
      <c r="D165" t="n">
        <v>120</v>
      </c>
      <c r="E165" t="inlineStr">
        <is>
          <t>Phorest POS software monthly subscription charges for 4-5 stations</t>
        </is>
      </c>
    </row>
    <row r="166">
      <c r="A166" t="inlineStr">
        <is>
          <t>Macau</t>
        </is>
      </c>
      <c r="B166" t="inlineStr">
        <is>
          <t>Admin &amp; SW</t>
        </is>
      </c>
      <c r="C166" t="inlineStr">
        <is>
          <t>Commercial Insurance, Bookkeeping &amp; Compliance</t>
        </is>
      </c>
      <c r="D166" t="n">
        <v>180</v>
      </c>
      <c r="E166" t="inlineStr">
        <is>
          <t>Local business insurance quote &amp; independent accountant retainer</t>
        </is>
      </c>
    </row>
    <row r="167">
      <c r="A167" t="inlineStr">
        <is>
          <t>Dubai</t>
        </is>
      </c>
      <c r="B167" t="inlineStr">
        <is>
          <t>Rent</t>
        </is>
      </c>
      <c r="C167" t="inlineStr">
        <is>
          <t>Base Commercial Rent (inc. service charges)</t>
        </is>
      </c>
      <c r="D167" t="n">
        <v>3500</v>
      </c>
      <c r="E167" t="inlineStr">
        <is>
          <t>Estimated prime retail rental rates for recommended locations</t>
        </is>
      </c>
    </row>
    <row r="168">
      <c r="A168" t="inlineStr">
        <is>
          <t>Dubai</t>
        </is>
      </c>
      <c r="B168" t="inlineStr">
        <is>
          <t>Staff Cost</t>
        </is>
      </c>
      <c r="C168" t="inlineStr">
        <is>
          <t>Senior Hair Stylist Salary (2 headcount)</t>
        </is>
      </c>
      <c r="D168" t="n">
        <v>5440</v>
      </c>
      <c r="E168" t="inlineStr">
        <is>
          <t>National Hairdresser Salary Survey for Senior Stylists (Base of $2720.0/mo)</t>
        </is>
      </c>
    </row>
    <row r="169">
      <c r="A169" t="inlineStr">
        <is>
          <t>Dubai</t>
        </is>
      </c>
      <c r="B169" t="inlineStr">
        <is>
          <t>Staff Cost</t>
        </is>
      </c>
      <c r="C169" t="inlineStr">
        <is>
          <t>Junior Hair Stylist Salary (2 headcount)</t>
        </is>
      </c>
      <c r="D169" t="n">
        <v>3808</v>
      </c>
      <c r="E169" t="inlineStr">
        <is>
          <t>National Hairdresser Salary Survey for Junior Stylists (Base of $1904.0/mo)</t>
        </is>
      </c>
    </row>
    <row r="170">
      <c r="A170" t="inlineStr">
        <is>
          <t>Dubai</t>
        </is>
      </c>
      <c r="B170" t="inlineStr">
        <is>
          <t>Staff Cost</t>
        </is>
      </c>
      <c r="C170" t="inlineStr">
        <is>
          <t>Stylist Assistants / Techs (2 headcount)</t>
        </is>
      </c>
      <c r="D170" t="n">
        <v>3264</v>
      </c>
      <c r="E170" t="inlineStr">
        <is>
          <t>National Hairdresser Salary Survey for Assistants (Base of $1632.0/mo)</t>
        </is>
      </c>
    </row>
    <row r="171">
      <c r="A171" t="inlineStr">
        <is>
          <t>Dubai</t>
        </is>
      </c>
      <c r="B171" t="inlineStr">
        <is>
          <t>Staff Cost</t>
        </is>
      </c>
      <c r="C171" t="inlineStr">
        <is>
          <t>Salon Manager / Receptionist Salary (1 headcount)</t>
        </is>
      </c>
      <c r="D171" t="n">
        <v>3808</v>
      </c>
      <c r="E171" t="inlineStr">
        <is>
          <t>National Salary Survey for Salon Managers (Base of $3808.0/mo)</t>
        </is>
      </c>
    </row>
    <row r="172">
      <c r="A172" t="inlineStr">
        <is>
          <t>Dubai</t>
        </is>
      </c>
      <c r="B172" t="inlineStr">
        <is>
          <t>Utilities</t>
        </is>
      </c>
      <c r="C172" t="inlineStr">
        <is>
          <t>Electricity (AC, blowdryers, lighting)</t>
        </is>
      </c>
      <c r="D172" t="n">
        <v>312</v>
      </c>
      <c r="E172" t="inlineStr">
        <is>
          <t>Local electric power utility commercial tariff estimates</t>
        </is>
      </c>
    </row>
    <row r="173">
      <c r="A173" t="inlineStr">
        <is>
          <t>Dubai</t>
        </is>
      </c>
      <c r="B173" t="inlineStr">
        <is>
          <t>Utilities</t>
        </is>
      </c>
      <c r="C173" t="inlineStr">
        <is>
          <t>Water &amp; Filtration Replacement Filters</t>
        </is>
      </c>
      <c r="D173" t="n">
        <v>208</v>
      </c>
      <c r="E173" t="inlineStr">
        <is>
          <t>Local water utility charges and recurring demineralizer filters cost</t>
        </is>
      </c>
    </row>
    <row r="174">
      <c r="A174" t="inlineStr">
        <is>
          <t>Dubai</t>
        </is>
      </c>
      <c r="B174" t="inlineStr">
        <is>
          <t>Marketing &amp; Misc</t>
        </is>
      </c>
      <c r="C174" t="inlineStr">
        <is>
          <t>Localized Social Media Advertising (Meta, IG)</t>
        </is>
      </c>
      <c r="D174" t="n">
        <v>582</v>
      </c>
      <c r="E174" t="inlineStr">
        <is>
          <t>Local Facebook &amp; Instagram targeted advertising agency packages</t>
        </is>
      </c>
    </row>
    <row r="175">
      <c r="A175" t="inlineStr">
        <is>
          <t>Dubai</t>
        </is>
      </c>
      <c r="B175" t="inlineStr">
        <is>
          <t>Marketing &amp; Misc</t>
        </is>
      </c>
      <c r="C175" t="inlineStr">
        <is>
          <t>PR, Influencer (KOL) Invites &amp; Print Material</t>
        </is>
      </c>
      <c r="D175" t="n">
        <v>388</v>
      </c>
      <c r="E175" t="inlineStr">
        <is>
          <t>Launch month promotion campaign and graphic design print materials</t>
        </is>
      </c>
    </row>
    <row r="176">
      <c r="A176" t="inlineStr">
        <is>
          <t>Dubai</t>
        </is>
      </c>
      <c r="B176" t="inlineStr">
        <is>
          <t>Admin &amp; SW</t>
        </is>
      </c>
      <c r="C176" t="inlineStr">
        <is>
          <t>Salon Booking Software &amp; POS SaaS Subscription</t>
        </is>
      </c>
      <c r="D176" t="n">
        <v>120</v>
      </c>
      <c r="E176" t="inlineStr">
        <is>
          <t>Phorest POS software monthly subscription charges for 4-5 stations</t>
        </is>
      </c>
    </row>
    <row r="177">
      <c r="A177" t="inlineStr">
        <is>
          <t>Dubai</t>
        </is>
      </c>
      <c r="B177" t="inlineStr">
        <is>
          <t>Admin &amp; SW</t>
        </is>
      </c>
      <c r="C177" t="inlineStr">
        <is>
          <t>Commercial Insurance, Bookkeeping &amp; Compliance</t>
        </is>
      </c>
      <c r="D177" t="n">
        <v>180</v>
      </c>
      <c r="E177" t="inlineStr">
        <is>
          <t>Local business insurance quote &amp; independent accountant retainer</t>
        </is>
      </c>
    </row>
    <row r="178">
      <c r="A178" t="inlineStr">
        <is>
          <t>Taipei</t>
        </is>
      </c>
      <c r="B178" t="inlineStr">
        <is>
          <t>Rent</t>
        </is>
      </c>
      <c r="C178" t="inlineStr">
        <is>
          <t>Base Commercial Rent (inc. service charges)</t>
        </is>
      </c>
      <c r="D178" t="n">
        <v>3400</v>
      </c>
      <c r="E178" t="inlineStr">
        <is>
          <t>Estimated prime retail rental rates for recommended locations</t>
        </is>
      </c>
    </row>
    <row r="179">
      <c r="A179" t="inlineStr">
        <is>
          <t>Taipei</t>
        </is>
      </c>
      <c r="B179" t="inlineStr">
        <is>
          <t>Staff Cost</t>
        </is>
      </c>
      <c r="C179" t="inlineStr">
        <is>
          <t>Senior Hair Stylist Salary (2 headcount)</t>
        </is>
      </c>
      <c r="D179" t="n">
        <v>3410</v>
      </c>
      <c r="E179" t="inlineStr">
        <is>
          <t>National Hairdresser Salary Survey for Senior Stylists (Base of $1705.0/mo)</t>
        </is>
      </c>
    </row>
    <row r="180">
      <c r="A180" t="inlineStr">
        <is>
          <t>Taipei</t>
        </is>
      </c>
      <c r="B180" t="inlineStr">
        <is>
          <t>Staff Cost</t>
        </is>
      </c>
      <c r="C180" t="inlineStr">
        <is>
          <t>Junior Hair Stylist Salary (2 headcount)</t>
        </is>
      </c>
      <c r="D180" t="n">
        <v>1984</v>
      </c>
      <c r="E180" t="inlineStr">
        <is>
          <t>National Hairdresser Salary Survey for Junior Stylists (Base of $992.0/mo)</t>
        </is>
      </c>
    </row>
    <row r="181">
      <c r="A181" t="inlineStr">
        <is>
          <t>Taipei</t>
        </is>
      </c>
      <c r="B181" t="inlineStr">
        <is>
          <t>Staff Cost</t>
        </is>
      </c>
      <c r="C181" t="inlineStr">
        <is>
          <t>Stylist Assistants / Techs (2 headcount)</t>
        </is>
      </c>
      <c r="D181" t="n">
        <v>1984</v>
      </c>
      <c r="E181" t="inlineStr">
        <is>
          <t>National Hairdresser Salary Survey for Assistants (Base of $992.0/mo)</t>
        </is>
      </c>
    </row>
    <row r="182">
      <c r="A182" t="inlineStr">
        <is>
          <t>Taipei</t>
        </is>
      </c>
      <c r="B182" t="inlineStr">
        <is>
          <t>Staff Cost</t>
        </is>
      </c>
      <c r="C182" t="inlineStr">
        <is>
          <t>Salon Manager / Receptionist Salary (1 headcount)</t>
        </is>
      </c>
      <c r="D182" t="n">
        <v>2170</v>
      </c>
      <c r="E182" t="inlineStr">
        <is>
          <t>National Salary Survey for Salon Managers (Base of $2170.0/mo)</t>
        </is>
      </c>
    </row>
    <row r="183">
      <c r="A183" t="inlineStr">
        <is>
          <t>Taipei</t>
        </is>
      </c>
      <c r="B183" t="inlineStr">
        <is>
          <t>Utilities</t>
        </is>
      </c>
      <c r="C183" t="inlineStr">
        <is>
          <t>Electricity (AC, blowdryers, lighting)</t>
        </is>
      </c>
      <c r="D183" t="n">
        <v>312</v>
      </c>
      <c r="E183" t="inlineStr">
        <is>
          <t>Local electric power utility commercial tariff estimates</t>
        </is>
      </c>
    </row>
    <row r="184">
      <c r="A184" t="inlineStr">
        <is>
          <t>Taipei</t>
        </is>
      </c>
      <c r="B184" t="inlineStr">
        <is>
          <t>Utilities</t>
        </is>
      </c>
      <c r="C184" t="inlineStr">
        <is>
          <t>Water &amp; Filtration Replacement Filters</t>
        </is>
      </c>
      <c r="D184" t="n">
        <v>208</v>
      </c>
      <c r="E184" t="inlineStr">
        <is>
          <t>Local water utility charges and recurring demineralizer filters cost</t>
        </is>
      </c>
    </row>
    <row r="185">
      <c r="A185" t="inlineStr">
        <is>
          <t>Taipei</t>
        </is>
      </c>
      <c r="B185" t="inlineStr">
        <is>
          <t>Marketing &amp; Misc</t>
        </is>
      </c>
      <c r="C185" t="inlineStr">
        <is>
          <t>Localized Social Media Advertising (Meta, IG)</t>
        </is>
      </c>
      <c r="D185" t="n">
        <v>582</v>
      </c>
      <c r="E185" t="inlineStr">
        <is>
          <t>Local Facebook &amp; Instagram targeted advertising agency packages</t>
        </is>
      </c>
    </row>
    <row r="186">
      <c r="A186" t="inlineStr">
        <is>
          <t>Taipei</t>
        </is>
      </c>
      <c r="B186" t="inlineStr">
        <is>
          <t>Marketing &amp; Misc</t>
        </is>
      </c>
      <c r="C186" t="inlineStr">
        <is>
          <t>PR, Influencer (KOL) Invites &amp; Print Material</t>
        </is>
      </c>
      <c r="D186" t="n">
        <v>388</v>
      </c>
      <c r="E186" t="inlineStr">
        <is>
          <t>Launch month promotion campaign and graphic design print materials</t>
        </is>
      </c>
    </row>
    <row r="187">
      <c r="A187" t="inlineStr">
        <is>
          <t>Taipei</t>
        </is>
      </c>
      <c r="B187" t="inlineStr">
        <is>
          <t>Admin &amp; SW</t>
        </is>
      </c>
      <c r="C187" t="inlineStr">
        <is>
          <t>Salon Booking Software &amp; POS SaaS Subscription</t>
        </is>
      </c>
      <c r="D187" t="n">
        <v>80</v>
      </c>
      <c r="E187" t="inlineStr">
        <is>
          <t>Phorest POS software monthly subscription charges for 4-5 stations</t>
        </is>
      </c>
    </row>
    <row r="188">
      <c r="A188" t="inlineStr">
        <is>
          <t>Taipei</t>
        </is>
      </c>
      <c r="B188" t="inlineStr">
        <is>
          <t>Admin &amp; SW</t>
        </is>
      </c>
      <c r="C188" t="inlineStr">
        <is>
          <t>Commercial Insurance, Bookkeeping &amp; Compliance</t>
        </is>
      </c>
      <c r="D188" t="n">
        <v>120</v>
      </c>
      <c r="E188" t="inlineStr">
        <is>
          <t>Local business insurance quote &amp; independent accountant retainer</t>
        </is>
      </c>
    </row>
    <row r="189">
      <c r="A189" t="inlineStr">
        <is>
          <t>Taichung</t>
        </is>
      </c>
      <c r="B189" t="inlineStr">
        <is>
          <t>Rent</t>
        </is>
      </c>
      <c r="C189" t="inlineStr">
        <is>
          <t>Base Commercial Rent (inc. service charges)</t>
        </is>
      </c>
      <c r="D189" t="n">
        <v>3000</v>
      </c>
      <c r="E189" t="inlineStr">
        <is>
          <t>Estimated prime retail rental rates for recommended locations</t>
        </is>
      </c>
    </row>
    <row r="190">
      <c r="A190" t="inlineStr">
        <is>
          <t>Taichung</t>
        </is>
      </c>
      <c r="B190" t="inlineStr">
        <is>
          <t>Staff Cost</t>
        </is>
      </c>
      <c r="C190" t="inlineStr">
        <is>
          <t>Senior Hair Stylist Salary (2 headcount)</t>
        </is>
      </c>
      <c r="D190" t="n">
        <v>3410</v>
      </c>
      <c r="E190" t="inlineStr">
        <is>
          <t>National Hairdresser Salary Survey for Senior Stylists (Base of $1705.0/mo)</t>
        </is>
      </c>
    </row>
    <row r="191">
      <c r="A191" t="inlineStr">
        <is>
          <t>Taichung</t>
        </is>
      </c>
      <c r="B191" t="inlineStr">
        <is>
          <t>Staff Cost</t>
        </is>
      </c>
      <c r="C191" t="inlineStr">
        <is>
          <t>Junior Hair Stylist Salary (2 headcount)</t>
        </is>
      </c>
      <c r="D191" t="n">
        <v>1984</v>
      </c>
      <c r="E191" t="inlineStr">
        <is>
          <t>National Hairdresser Salary Survey for Junior Stylists (Base of $992.0/mo)</t>
        </is>
      </c>
    </row>
    <row r="192">
      <c r="A192" t="inlineStr">
        <is>
          <t>Taichung</t>
        </is>
      </c>
      <c r="B192" t="inlineStr">
        <is>
          <t>Staff Cost</t>
        </is>
      </c>
      <c r="C192" t="inlineStr">
        <is>
          <t>Stylist Assistants / Techs (2 headcount)</t>
        </is>
      </c>
      <c r="D192" t="n">
        <v>1984</v>
      </c>
      <c r="E192" t="inlineStr">
        <is>
          <t>National Hairdresser Salary Survey for Assistants (Base of $992.0/mo)</t>
        </is>
      </c>
    </row>
    <row r="193">
      <c r="A193" t="inlineStr">
        <is>
          <t>Taichung</t>
        </is>
      </c>
      <c r="B193" t="inlineStr">
        <is>
          <t>Staff Cost</t>
        </is>
      </c>
      <c r="C193" t="inlineStr">
        <is>
          <t>Salon Manager / Receptionist Salary (1 headcount)</t>
        </is>
      </c>
      <c r="D193" t="n">
        <v>2170</v>
      </c>
      <c r="E193" t="inlineStr">
        <is>
          <t>National Salary Survey for Salon Managers (Base of $2170.0/mo)</t>
        </is>
      </c>
    </row>
    <row r="194">
      <c r="A194" t="inlineStr">
        <is>
          <t>Taichung</t>
        </is>
      </c>
      <c r="B194" t="inlineStr">
        <is>
          <t>Utilities</t>
        </is>
      </c>
      <c r="C194" t="inlineStr">
        <is>
          <t>Electricity (AC, blowdryers, lighting)</t>
        </is>
      </c>
      <c r="D194" t="n">
        <v>312</v>
      </c>
      <c r="E194" t="inlineStr">
        <is>
          <t>Local electric power utility commercial tariff estimates</t>
        </is>
      </c>
    </row>
    <row r="195">
      <c r="A195" t="inlineStr">
        <is>
          <t>Taichung</t>
        </is>
      </c>
      <c r="B195" t="inlineStr">
        <is>
          <t>Utilities</t>
        </is>
      </c>
      <c r="C195" t="inlineStr">
        <is>
          <t>Water &amp; Filtration Replacement Filters</t>
        </is>
      </c>
      <c r="D195" t="n">
        <v>208</v>
      </c>
      <c r="E195" t="inlineStr">
        <is>
          <t>Local water utility charges and recurring demineralizer filters cost</t>
        </is>
      </c>
    </row>
    <row r="196">
      <c r="A196" t="inlineStr">
        <is>
          <t>Taichung</t>
        </is>
      </c>
      <c r="B196" t="inlineStr">
        <is>
          <t>Marketing &amp; Misc</t>
        </is>
      </c>
      <c r="C196" t="inlineStr">
        <is>
          <t>Localized Social Media Advertising (Meta, IG)</t>
        </is>
      </c>
      <c r="D196" t="n">
        <v>582</v>
      </c>
      <c r="E196" t="inlineStr">
        <is>
          <t>Local Facebook &amp; Instagram targeted advertising agency packages</t>
        </is>
      </c>
    </row>
    <row r="197">
      <c r="A197" t="inlineStr">
        <is>
          <t>Taichung</t>
        </is>
      </c>
      <c r="B197" t="inlineStr">
        <is>
          <t>Marketing &amp; Misc</t>
        </is>
      </c>
      <c r="C197" t="inlineStr">
        <is>
          <t>PR, Influencer (KOL) Invites &amp; Print Material</t>
        </is>
      </c>
      <c r="D197" t="n">
        <v>388</v>
      </c>
      <c r="E197" t="inlineStr">
        <is>
          <t>Launch month promotion campaign and graphic design print materials</t>
        </is>
      </c>
    </row>
    <row r="198">
      <c r="A198" t="inlineStr">
        <is>
          <t>Taichung</t>
        </is>
      </c>
      <c r="B198" t="inlineStr">
        <is>
          <t>Admin &amp; SW</t>
        </is>
      </c>
      <c r="C198" t="inlineStr">
        <is>
          <t>Salon Booking Software &amp; POS SaaS Subscription</t>
        </is>
      </c>
      <c r="D198" t="n">
        <v>80</v>
      </c>
      <c r="E198" t="inlineStr">
        <is>
          <t>Phorest POS software monthly subscription charges for 4-5 stations</t>
        </is>
      </c>
    </row>
    <row r="199">
      <c r="A199" t="inlineStr">
        <is>
          <t>Taichung</t>
        </is>
      </c>
      <c r="B199" t="inlineStr">
        <is>
          <t>Admin &amp; SW</t>
        </is>
      </c>
      <c r="C199" t="inlineStr">
        <is>
          <t>Commercial Insurance, Bookkeeping &amp; Compliance</t>
        </is>
      </c>
      <c r="D199" t="n">
        <v>120</v>
      </c>
      <c r="E199" t="inlineStr">
        <is>
          <t>Local business insurance quote &amp; independent accountant retainer</t>
        </is>
      </c>
    </row>
    <row r="200">
      <c r="A200" t="inlineStr">
        <is>
          <t>Kaohsiung</t>
        </is>
      </c>
      <c r="B200" t="inlineStr">
        <is>
          <t>Rent</t>
        </is>
      </c>
      <c r="C200" t="inlineStr">
        <is>
          <t>Base Commercial Rent (inc. service charges)</t>
        </is>
      </c>
      <c r="D200" t="n">
        <v>2000</v>
      </c>
      <c r="E200" t="inlineStr">
        <is>
          <t>Estimated prime retail rental rates for recommended locations</t>
        </is>
      </c>
    </row>
    <row r="201">
      <c r="A201" t="inlineStr">
        <is>
          <t>Kaohsiung</t>
        </is>
      </c>
      <c r="B201" t="inlineStr">
        <is>
          <t>Staff Cost</t>
        </is>
      </c>
      <c r="C201" t="inlineStr">
        <is>
          <t>Senior Hair Stylist Salary (2 headcount)</t>
        </is>
      </c>
      <c r="D201" t="n">
        <v>3410</v>
      </c>
      <c r="E201" t="inlineStr">
        <is>
          <t>National Hairdresser Salary Survey for Senior Stylists (Base of $1705.0/mo)</t>
        </is>
      </c>
    </row>
    <row r="202">
      <c r="A202" t="inlineStr">
        <is>
          <t>Kaohsiung</t>
        </is>
      </c>
      <c r="B202" t="inlineStr">
        <is>
          <t>Staff Cost</t>
        </is>
      </c>
      <c r="C202" t="inlineStr">
        <is>
          <t>Junior Hair Stylist Salary (2 headcount)</t>
        </is>
      </c>
      <c r="D202" t="n">
        <v>1984</v>
      </c>
      <c r="E202" t="inlineStr">
        <is>
          <t>National Hairdresser Salary Survey for Junior Stylists (Base of $992.0/mo)</t>
        </is>
      </c>
    </row>
    <row r="203">
      <c r="A203" t="inlineStr">
        <is>
          <t>Kaohsiung</t>
        </is>
      </c>
      <c r="B203" t="inlineStr">
        <is>
          <t>Staff Cost</t>
        </is>
      </c>
      <c r="C203" t="inlineStr">
        <is>
          <t>Stylist Assistants / Techs (2 headcount)</t>
        </is>
      </c>
      <c r="D203" t="n">
        <v>1984</v>
      </c>
      <c r="E203" t="inlineStr">
        <is>
          <t>National Hairdresser Salary Survey for Assistants (Base of $992.0/mo)</t>
        </is>
      </c>
    </row>
    <row r="204">
      <c r="A204" t="inlineStr">
        <is>
          <t>Kaohsiung</t>
        </is>
      </c>
      <c r="B204" t="inlineStr">
        <is>
          <t>Staff Cost</t>
        </is>
      </c>
      <c r="C204" t="inlineStr">
        <is>
          <t>Salon Manager / Receptionist Salary (1 headcount)</t>
        </is>
      </c>
      <c r="D204" t="n">
        <v>2170</v>
      </c>
      <c r="E204" t="inlineStr">
        <is>
          <t>National Salary Survey for Salon Managers (Base of $2170.0/mo)</t>
        </is>
      </c>
    </row>
    <row r="205">
      <c r="A205" t="inlineStr">
        <is>
          <t>Kaohsiung</t>
        </is>
      </c>
      <c r="B205" t="inlineStr">
        <is>
          <t>Utilities</t>
        </is>
      </c>
      <c r="C205" t="inlineStr">
        <is>
          <t>Electricity (AC, blowdryers, lighting)</t>
        </is>
      </c>
      <c r="D205" t="n">
        <v>312</v>
      </c>
      <c r="E205" t="inlineStr">
        <is>
          <t>Local electric power utility commercial tariff estimates</t>
        </is>
      </c>
    </row>
    <row r="206">
      <c r="A206" t="inlineStr">
        <is>
          <t>Kaohsiung</t>
        </is>
      </c>
      <c r="B206" t="inlineStr">
        <is>
          <t>Utilities</t>
        </is>
      </c>
      <c r="C206" t="inlineStr">
        <is>
          <t>Water &amp; Filtration Replacement Filters</t>
        </is>
      </c>
      <c r="D206" t="n">
        <v>208</v>
      </c>
      <c r="E206" t="inlineStr">
        <is>
          <t>Local water utility charges and recurring demineralizer filters cost</t>
        </is>
      </c>
    </row>
    <row r="207">
      <c r="A207" t="inlineStr">
        <is>
          <t>Kaohsiung</t>
        </is>
      </c>
      <c r="B207" t="inlineStr">
        <is>
          <t>Marketing &amp; Misc</t>
        </is>
      </c>
      <c r="C207" t="inlineStr">
        <is>
          <t>Localized Social Media Advertising (Meta, IG)</t>
        </is>
      </c>
      <c r="D207" t="n">
        <v>582</v>
      </c>
      <c r="E207" t="inlineStr">
        <is>
          <t>Local Facebook &amp; Instagram targeted advertising agency packages</t>
        </is>
      </c>
    </row>
    <row r="208">
      <c r="A208" t="inlineStr">
        <is>
          <t>Kaohsiung</t>
        </is>
      </c>
      <c r="B208" t="inlineStr">
        <is>
          <t>Marketing &amp; Misc</t>
        </is>
      </c>
      <c r="C208" t="inlineStr">
        <is>
          <t>PR, Influencer (KOL) Invites &amp; Print Material</t>
        </is>
      </c>
      <c r="D208" t="n">
        <v>388</v>
      </c>
      <c r="E208" t="inlineStr">
        <is>
          <t>Launch month promotion campaign and graphic design print materials</t>
        </is>
      </c>
    </row>
    <row r="209">
      <c r="A209" t="inlineStr">
        <is>
          <t>Kaohsiung</t>
        </is>
      </c>
      <c r="B209" t="inlineStr">
        <is>
          <t>Admin &amp; SW</t>
        </is>
      </c>
      <c r="C209" t="inlineStr">
        <is>
          <t>Salon Booking Software &amp; POS SaaS Subscription</t>
        </is>
      </c>
      <c r="D209" t="n">
        <v>80</v>
      </c>
      <c r="E209" t="inlineStr">
        <is>
          <t>Phorest POS software monthly subscription charges for 4-5 stations</t>
        </is>
      </c>
    </row>
    <row r="210">
      <c r="A210" t="inlineStr">
        <is>
          <t>Kaohsiung</t>
        </is>
      </c>
      <c r="B210" t="inlineStr">
        <is>
          <t>Admin &amp; SW</t>
        </is>
      </c>
      <c r="C210" t="inlineStr">
        <is>
          <t>Commercial Insurance, Bookkeeping &amp; Compliance</t>
        </is>
      </c>
      <c r="D210" t="n">
        <v>120</v>
      </c>
      <c r="E210" t="inlineStr">
        <is>
          <t>Local business insurance quote &amp; independent accountant retainer</t>
        </is>
      </c>
    </row>
    <row r="211">
      <c r="A211" t="inlineStr">
        <is>
          <t>Tainan</t>
        </is>
      </c>
      <c r="B211" t="inlineStr">
        <is>
          <t>Rent</t>
        </is>
      </c>
      <c r="C211" t="inlineStr">
        <is>
          <t>Base Commercial Rent (inc. service charges)</t>
        </is>
      </c>
      <c r="D211" t="n">
        <v>1500</v>
      </c>
      <c r="E211" t="inlineStr">
        <is>
          <t>Estimated prime retail rental rates for recommended locations</t>
        </is>
      </c>
    </row>
    <row r="212">
      <c r="A212" t="inlineStr">
        <is>
          <t>Tainan</t>
        </is>
      </c>
      <c r="B212" t="inlineStr">
        <is>
          <t>Staff Cost</t>
        </is>
      </c>
      <c r="C212" t="inlineStr">
        <is>
          <t>Senior Hair Stylist Salary (2 headcount)</t>
        </is>
      </c>
      <c r="D212" t="n">
        <v>3410</v>
      </c>
      <c r="E212" t="inlineStr">
        <is>
          <t>National Hairdresser Salary Survey for Senior Stylists (Base of $1705.0/mo)</t>
        </is>
      </c>
    </row>
    <row r="213">
      <c r="A213" t="inlineStr">
        <is>
          <t>Tainan</t>
        </is>
      </c>
      <c r="B213" t="inlineStr">
        <is>
          <t>Staff Cost</t>
        </is>
      </c>
      <c r="C213" t="inlineStr">
        <is>
          <t>Junior Hair Stylist Salary (1 headcount)</t>
        </is>
      </c>
      <c r="D213" t="n">
        <v>992</v>
      </c>
      <c r="E213" t="inlineStr">
        <is>
          <t>National Hairdresser Salary Survey for Junior Stylists (Base of $992.0/mo)</t>
        </is>
      </c>
    </row>
    <row r="214">
      <c r="A214" t="inlineStr">
        <is>
          <t>Tainan</t>
        </is>
      </c>
      <c r="B214" t="inlineStr">
        <is>
          <t>Staff Cost</t>
        </is>
      </c>
      <c r="C214" t="inlineStr">
        <is>
          <t>Stylist Assistants / Techs (2 headcount)</t>
        </is>
      </c>
      <c r="D214" t="n">
        <v>1984</v>
      </c>
      <c r="E214" t="inlineStr">
        <is>
          <t>National Hairdresser Salary Survey for Assistants (Base of $992.0/mo)</t>
        </is>
      </c>
    </row>
    <row r="215">
      <c r="A215" t="inlineStr">
        <is>
          <t>Tainan</t>
        </is>
      </c>
      <c r="B215" t="inlineStr">
        <is>
          <t>Staff Cost</t>
        </is>
      </c>
      <c r="C215" t="inlineStr">
        <is>
          <t>Salon Manager / Receptionist Salary (1 headcount)</t>
        </is>
      </c>
      <c r="D215" t="n">
        <v>2170</v>
      </c>
      <c r="E215" t="inlineStr">
        <is>
          <t>National Salary Survey for Salon Managers (Base of $2170.0/mo)</t>
        </is>
      </c>
    </row>
    <row r="216">
      <c r="A216" t="inlineStr">
        <is>
          <t>Tainan</t>
        </is>
      </c>
      <c r="B216" t="inlineStr">
        <is>
          <t>Utilities</t>
        </is>
      </c>
      <c r="C216" t="inlineStr">
        <is>
          <t>Electricity (AC, blowdryers, lighting)</t>
        </is>
      </c>
      <c r="D216" t="n">
        <v>264</v>
      </c>
      <c r="E216" t="inlineStr">
        <is>
          <t>Local electric power utility commercial tariff estimates</t>
        </is>
      </c>
    </row>
    <row r="217">
      <c r="A217" t="inlineStr">
        <is>
          <t>Tainan</t>
        </is>
      </c>
      <c r="B217" t="inlineStr">
        <is>
          <t>Utilities</t>
        </is>
      </c>
      <c r="C217" t="inlineStr">
        <is>
          <t>Water &amp; Filtration Replacement Filters</t>
        </is>
      </c>
      <c r="D217" t="n">
        <v>176</v>
      </c>
      <c r="E217" t="inlineStr">
        <is>
          <t>Local water utility charges and recurring demineralizer filters cost</t>
        </is>
      </c>
    </row>
    <row r="218">
      <c r="A218" t="inlineStr">
        <is>
          <t>Tainan</t>
        </is>
      </c>
      <c r="B218" t="inlineStr">
        <is>
          <t>Marketing &amp; Misc</t>
        </is>
      </c>
      <c r="C218" t="inlineStr">
        <is>
          <t>Localized Social Media Advertising (Meta, IG)</t>
        </is>
      </c>
      <c r="D218" t="n">
        <v>534</v>
      </c>
      <c r="E218" t="inlineStr">
        <is>
          <t>Local Facebook &amp; Instagram targeted advertising agency packages</t>
        </is>
      </c>
    </row>
    <row r="219">
      <c r="A219" t="inlineStr">
        <is>
          <t>Tainan</t>
        </is>
      </c>
      <c r="B219" t="inlineStr">
        <is>
          <t>Marketing &amp; Misc</t>
        </is>
      </c>
      <c r="C219" t="inlineStr">
        <is>
          <t>PR, Influencer (KOL) Invites &amp; Print Material</t>
        </is>
      </c>
      <c r="D219" t="n">
        <v>356</v>
      </c>
      <c r="E219" t="inlineStr">
        <is>
          <t>Launch month promotion campaign and graphic design print materials</t>
        </is>
      </c>
    </row>
    <row r="220">
      <c r="A220" t="inlineStr">
        <is>
          <t>Tainan</t>
        </is>
      </c>
      <c r="B220" t="inlineStr">
        <is>
          <t>Admin &amp; SW</t>
        </is>
      </c>
      <c r="C220" t="inlineStr">
        <is>
          <t>Salon Booking Software &amp; POS SaaS Subscription</t>
        </is>
      </c>
      <c r="D220" t="n">
        <v>80</v>
      </c>
      <c r="E220" t="inlineStr">
        <is>
          <t>Phorest POS software monthly subscription charges for 4-5 stations</t>
        </is>
      </c>
    </row>
    <row r="221">
      <c r="A221" t="inlineStr">
        <is>
          <t>Tainan</t>
        </is>
      </c>
      <c r="B221" t="inlineStr">
        <is>
          <t>Admin &amp; SW</t>
        </is>
      </c>
      <c r="C221" t="inlineStr">
        <is>
          <t>Commercial Insurance, Bookkeeping &amp; Compliance</t>
        </is>
      </c>
      <c r="D221" t="n">
        <v>120</v>
      </c>
      <c r="E221" t="inlineStr">
        <is>
          <t>Local business insurance quote &amp; independent accountant retainer</t>
        </is>
      </c>
    </row>
    <row r="222">
      <c r="A222" t="inlineStr">
        <is>
          <t>Fukuoka</t>
        </is>
      </c>
      <c r="B222" t="inlineStr">
        <is>
          <t>Rent</t>
        </is>
      </c>
      <c r="C222" t="inlineStr">
        <is>
          <t>Base Commercial Rent (inc. service charges)</t>
        </is>
      </c>
      <c r="D222" t="n">
        <v>1600</v>
      </c>
      <c r="E222" t="inlineStr">
        <is>
          <t>Estimated prime retail rental rates for recommended locations</t>
        </is>
      </c>
    </row>
    <row r="223">
      <c r="A223" t="inlineStr">
        <is>
          <t>Fukuoka</t>
        </is>
      </c>
      <c r="B223" t="inlineStr">
        <is>
          <t>Staff Cost</t>
        </is>
      </c>
      <c r="C223" t="inlineStr">
        <is>
          <t>Senior Hair Stylist Salary (2 headcount)</t>
        </is>
      </c>
      <c r="D223" t="n">
        <v>4690</v>
      </c>
      <c r="E223" t="inlineStr">
        <is>
          <t>National Hairdresser Salary Survey for Senior Stylists (Base of $2345.0/mo)</t>
        </is>
      </c>
    </row>
    <row r="224">
      <c r="A224" t="inlineStr">
        <is>
          <t>Fukuoka</t>
        </is>
      </c>
      <c r="B224" t="inlineStr">
        <is>
          <t>Staff Cost</t>
        </is>
      </c>
      <c r="C224" t="inlineStr">
        <is>
          <t>Junior Hair Stylist Salary (2 headcount)</t>
        </is>
      </c>
      <c r="D224" t="n">
        <v>2948</v>
      </c>
      <c r="E224" t="inlineStr">
        <is>
          <t>National Hairdresser Salary Survey for Junior Stylists (Base of $1474.0/mo)</t>
        </is>
      </c>
    </row>
    <row r="225">
      <c r="A225" t="inlineStr">
        <is>
          <t>Fukuoka</t>
        </is>
      </c>
      <c r="B225" t="inlineStr">
        <is>
          <t>Staff Cost</t>
        </is>
      </c>
      <c r="C225" t="inlineStr">
        <is>
          <t>Stylist Assistants / Techs (2 headcount)</t>
        </is>
      </c>
      <c r="D225" t="n">
        <v>2948</v>
      </c>
      <c r="E225" t="inlineStr">
        <is>
          <t>National Hairdresser Salary Survey for Assistants (Base of $1474.0/mo)</t>
        </is>
      </c>
    </row>
    <row r="226">
      <c r="A226" t="inlineStr">
        <is>
          <t>Fukuoka</t>
        </is>
      </c>
      <c r="B226" t="inlineStr">
        <is>
          <t>Staff Cost</t>
        </is>
      </c>
      <c r="C226" t="inlineStr">
        <is>
          <t>Salon Manager / Receptionist Salary (1 headcount)</t>
        </is>
      </c>
      <c r="D226" t="n">
        <v>3015</v>
      </c>
      <c r="E226" t="inlineStr">
        <is>
          <t>National Salary Survey for Salon Managers (Base of $3015.0/mo)</t>
        </is>
      </c>
    </row>
    <row r="227">
      <c r="A227" t="inlineStr">
        <is>
          <t>Fukuoka</t>
        </is>
      </c>
      <c r="B227" t="inlineStr">
        <is>
          <t>Utilities</t>
        </is>
      </c>
      <c r="C227" t="inlineStr">
        <is>
          <t>Electricity (AC, blowdryers, lighting)</t>
        </is>
      </c>
      <c r="D227" t="n">
        <v>312</v>
      </c>
      <c r="E227" t="inlineStr">
        <is>
          <t>Local electric power utility commercial tariff estimates</t>
        </is>
      </c>
    </row>
    <row r="228">
      <c r="A228" t="inlineStr">
        <is>
          <t>Fukuoka</t>
        </is>
      </c>
      <c r="B228" t="inlineStr">
        <is>
          <t>Utilities</t>
        </is>
      </c>
      <c r="C228" t="inlineStr">
        <is>
          <t>Water &amp; Filtration Replacement Filters</t>
        </is>
      </c>
      <c r="D228" t="n">
        <v>208</v>
      </c>
      <c r="E228" t="inlineStr">
        <is>
          <t>Local water utility charges and recurring demineralizer filters cost</t>
        </is>
      </c>
    </row>
    <row r="229">
      <c r="A229" t="inlineStr">
        <is>
          <t>Fukuoka</t>
        </is>
      </c>
      <c r="B229" t="inlineStr">
        <is>
          <t>Marketing &amp; Misc</t>
        </is>
      </c>
      <c r="C229" t="inlineStr">
        <is>
          <t>Localized Social Media Advertising (Meta, IG)</t>
        </is>
      </c>
      <c r="D229" t="n">
        <v>582</v>
      </c>
      <c r="E229" t="inlineStr">
        <is>
          <t>Local Facebook &amp; Instagram targeted advertising agency packages</t>
        </is>
      </c>
    </row>
    <row r="230">
      <c r="A230" t="inlineStr">
        <is>
          <t>Fukuoka</t>
        </is>
      </c>
      <c r="B230" t="inlineStr">
        <is>
          <t>Marketing &amp; Misc</t>
        </is>
      </c>
      <c r="C230" t="inlineStr">
        <is>
          <t>PR, Influencer (KOL) Invites &amp; Print Material</t>
        </is>
      </c>
      <c r="D230" t="n">
        <v>388</v>
      </c>
      <c r="E230" t="inlineStr">
        <is>
          <t>Launch month promotion campaign and graphic design print materials</t>
        </is>
      </c>
    </row>
    <row r="231">
      <c r="A231" t="inlineStr">
        <is>
          <t>Fukuoka</t>
        </is>
      </c>
      <c r="B231" t="inlineStr">
        <is>
          <t>Admin &amp; SW</t>
        </is>
      </c>
      <c r="C231" t="inlineStr">
        <is>
          <t>Salon Booking Software &amp; POS SaaS Subscription</t>
        </is>
      </c>
      <c r="D231" t="n">
        <v>120</v>
      </c>
      <c r="E231" t="inlineStr">
        <is>
          <t>Phorest POS software monthly subscription charges for 4-5 stations</t>
        </is>
      </c>
    </row>
    <row r="232">
      <c r="A232" t="inlineStr">
        <is>
          <t>Fukuoka</t>
        </is>
      </c>
      <c r="B232" t="inlineStr">
        <is>
          <t>Admin &amp; SW</t>
        </is>
      </c>
      <c r="C232" t="inlineStr">
        <is>
          <t>Commercial Insurance, Bookkeeping &amp; Compliance</t>
        </is>
      </c>
      <c r="D232" t="n">
        <v>180</v>
      </c>
      <c r="E232" t="inlineStr">
        <is>
          <t>Local business insurance quote &amp; independent accountant retainer</t>
        </is>
      </c>
    </row>
    <row r="233">
      <c r="A233" t="inlineStr">
        <is>
          <t>Okinawa</t>
        </is>
      </c>
      <c r="B233" t="inlineStr">
        <is>
          <t>Rent</t>
        </is>
      </c>
      <c r="C233" t="inlineStr">
        <is>
          <t>Base Commercial Rent (inc. service charges)</t>
        </is>
      </c>
      <c r="D233" t="n">
        <v>1100</v>
      </c>
      <c r="E233" t="inlineStr">
        <is>
          <t>Estimated prime retail rental rates for recommended locations</t>
        </is>
      </c>
    </row>
    <row r="234">
      <c r="A234" t="inlineStr">
        <is>
          <t>Okinawa</t>
        </is>
      </c>
      <c r="B234" t="inlineStr">
        <is>
          <t>Staff Cost</t>
        </is>
      </c>
      <c r="C234" t="inlineStr">
        <is>
          <t>Senior Hair Stylist Salary (2 headcount)</t>
        </is>
      </c>
      <c r="D234" t="n">
        <v>4690</v>
      </c>
      <c r="E234" t="inlineStr">
        <is>
          <t>National Hairdresser Salary Survey for Senior Stylists (Base of $2345.0/mo)</t>
        </is>
      </c>
    </row>
    <row r="235">
      <c r="A235" t="inlineStr">
        <is>
          <t>Okinawa</t>
        </is>
      </c>
      <c r="B235" t="inlineStr">
        <is>
          <t>Staff Cost</t>
        </is>
      </c>
      <c r="C235" t="inlineStr">
        <is>
          <t>Junior Hair Stylist Salary (2 headcount)</t>
        </is>
      </c>
      <c r="D235" t="n">
        <v>2948</v>
      </c>
      <c r="E235" t="inlineStr">
        <is>
          <t>National Hairdresser Salary Survey for Junior Stylists (Base of $1474.0/mo)</t>
        </is>
      </c>
    </row>
    <row r="236">
      <c r="A236" t="inlineStr">
        <is>
          <t>Okinawa</t>
        </is>
      </c>
      <c r="B236" t="inlineStr">
        <is>
          <t>Staff Cost</t>
        </is>
      </c>
      <c r="C236" t="inlineStr">
        <is>
          <t>Stylist Assistants / Techs (2 headcount)</t>
        </is>
      </c>
      <c r="D236" t="n">
        <v>2948</v>
      </c>
      <c r="E236" t="inlineStr">
        <is>
          <t>National Hairdresser Salary Survey for Assistants (Base of $1474.0/mo)</t>
        </is>
      </c>
    </row>
    <row r="237">
      <c r="A237" t="inlineStr">
        <is>
          <t>Okinawa</t>
        </is>
      </c>
      <c r="B237" t="inlineStr">
        <is>
          <t>Staff Cost</t>
        </is>
      </c>
      <c r="C237" t="inlineStr">
        <is>
          <t>Salon Manager / Receptionist Salary (1 headcount)</t>
        </is>
      </c>
      <c r="D237" t="n">
        <v>3015</v>
      </c>
      <c r="E237" t="inlineStr">
        <is>
          <t>National Salary Survey for Salon Managers (Base of $3015.0/mo)</t>
        </is>
      </c>
    </row>
    <row r="238">
      <c r="A238" t="inlineStr">
        <is>
          <t>Okinawa</t>
        </is>
      </c>
      <c r="B238" t="inlineStr">
        <is>
          <t>Utilities</t>
        </is>
      </c>
      <c r="C238" t="inlineStr">
        <is>
          <t>Electricity (AC, blowdryers, lighting)</t>
        </is>
      </c>
      <c r="D238" t="n">
        <v>312</v>
      </c>
      <c r="E238" t="inlineStr">
        <is>
          <t>Local electric power utility commercial tariff estimates</t>
        </is>
      </c>
    </row>
    <row r="239">
      <c r="A239" t="inlineStr">
        <is>
          <t>Okinawa</t>
        </is>
      </c>
      <c r="B239" t="inlineStr">
        <is>
          <t>Utilities</t>
        </is>
      </c>
      <c r="C239" t="inlineStr">
        <is>
          <t>Water &amp; Filtration Replacement Filters</t>
        </is>
      </c>
      <c r="D239" t="n">
        <v>208</v>
      </c>
      <c r="E239" t="inlineStr">
        <is>
          <t>Local water utility charges and recurring demineralizer filters cost</t>
        </is>
      </c>
    </row>
    <row r="240">
      <c r="A240" t="inlineStr">
        <is>
          <t>Okinawa</t>
        </is>
      </c>
      <c r="B240" t="inlineStr">
        <is>
          <t>Marketing &amp; Misc</t>
        </is>
      </c>
      <c r="C240" t="inlineStr">
        <is>
          <t>Localized Social Media Advertising (Meta, IG)</t>
        </is>
      </c>
      <c r="D240" t="n">
        <v>582</v>
      </c>
      <c r="E240" t="inlineStr">
        <is>
          <t>Local Facebook &amp; Instagram targeted advertising agency packages</t>
        </is>
      </c>
    </row>
    <row r="241">
      <c r="A241" t="inlineStr">
        <is>
          <t>Okinawa</t>
        </is>
      </c>
      <c r="B241" t="inlineStr">
        <is>
          <t>Marketing &amp; Misc</t>
        </is>
      </c>
      <c r="C241" t="inlineStr">
        <is>
          <t>PR, Influencer (KOL) Invites &amp; Print Material</t>
        </is>
      </c>
      <c r="D241" t="n">
        <v>388</v>
      </c>
      <c r="E241" t="inlineStr">
        <is>
          <t>Launch month promotion campaign and graphic design print materials</t>
        </is>
      </c>
    </row>
    <row r="242">
      <c r="A242" t="inlineStr">
        <is>
          <t>Okinawa</t>
        </is>
      </c>
      <c r="B242" t="inlineStr">
        <is>
          <t>Admin &amp; SW</t>
        </is>
      </c>
      <c r="C242" t="inlineStr">
        <is>
          <t>Salon Booking Software &amp; POS SaaS Subscription</t>
        </is>
      </c>
      <c r="D242" t="n">
        <v>120</v>
      </c>
      <c r="E242" t="inlineStr">
        <is>
          <t>Phorest POS software monthly subscription charges for 4-5 stations</t>
        </is>
      </c>
    </row>
    <row r="243">
      <c r="A243" t="inlineStr">
        <is>
          <t>Okinawa</t>
        </is>
      </c>
      <c r="B243" t="inlineStr">
        <is>
          <t>Admin &amp; SW</t>
        </is>
      </c>
      <c r="C243" t="inlineStr">
        <is>
          <t>Commercial Insurance, Bookkeeping &amp; Compliance</t>
        </is>
      </c>
      <c r="D243" t="n">
        <v>180</v>
      </c>
      <c r="E243" t="inlineStr">
        <is>
          <t>Local business insurance quote &amp; independent accountant retainer</t>
        </is>
      </c>
    </row>
    <row r="244">
      <c r="A244" t="inlineStr">
        <is>
          <t>Busan</t>
        </is>
      </c>
      <c r="B244" t="inlineStr">
        <is>
          <t>Rent</t>
        </is>
      </c>
      <c r="C244" t="inlineStr">
        <is>
          <t>Base Commercial Rent (inc. service charges)</t>
        </is>
      </c>
      <c r="D244" t="n">
        <v>2200</v>
      </c>
      <c r="E244" t="inlineStr">
        <is>
          <t>Estimated prime retail rental rates for recommended locations</t>
        </is>
      </c>
    </row>
    <row r="245">
      <c r="A245" t="inlineStr">
        <is>
          <t>Busan</t>
        </is>
      </c>
      <c r="B245" t="inlineStr">
        <is>
          <t>Staff Cost</t>
        </is>
      </c>
      <c r="C245" t="inlineStr">
        <is>
          <t>Senior Hair Stylist Salary (2 headcount)</t>
        </is>
      </c>
      <c r="D245" t="n">
        <v>4088</v>
      </c>
      <c r="E245" t="inlineStr">
        <is>
          <t>National Hairdresser Salary Survey for Senior Stylists (Base of $2044.0/mo)</t>
        </is>
      </c>
    </row>
    <row r="246">
      <c r="A246" t="inlineStr">
        <is>
          <t>Busan</t>
        </is>
      </c>
      <c r="B246" t="inlineStr">
        <is>
          <t>Staff Cost</t>
        </is>
      </c>
      <c r="C246" t="inlineStr">
        <is>
          <t>Junior Hair Stylist Salary (2 headcount)</t>
        </is>
      </c>
      <c r="D246" t="n">
        <v>2628</v>
      </c>
      <c r="E246" t="inlineStr">
        <is>
          <t>National Hairdresser Salary Survey for Junior Stylists (Base of $1314.0/mo)</t>
        </is>
      </c>
    </row>
    <row r="247">
      <c r="A247" t="inlineStr">
        <is>
          <t>Busan</t>
        </is>
      </c>
      <c r="B247" t="inlineStr">
        <is>
          <t>Staff Cost</t>
        </is>
      </c>
      <c r="C247" t="inlineStr">
        <is>
          <t>Stylist Assistants / Techs (2 headcount)</t>
        </is>
      </c>
      <c r="D247" t="n">
        <v>2628</v>
      </c>
      <c r="E247" t="inlineStr">
        <is>
          <t>National Hairdresser Salary Survey for Assistants (Base of $1314.0/mo)</t>
        </is>
      </c>
    </row>
    <row r="248">
      <c r="A248" t="inlineStr">
        <is>
          <t>Busan</t>
        </is>
      </c>
      <c r="B248" t="inlineStr">
        <is>
          <t>Staff Cost</t>
        </is>
      </c>
      <c r="C248" t="inlineStr">
        <is>
          <t>Salon Manager / Receptionist Salary (1 headcount)</t>
        </is>
      </c>
      <c r="D248" t="n">
        <v>2555</v>
      </c>
      <c r="E248" t="inlineStr">
        <is>
          <t>National Salary Survey for Salon Managers (Base of $2555.0/mo)</t>
        </is>
      </c>
    </row>
    <row r="249">
      <c r="A249" t="inlineStr">
        <is>
          <t>Busan</t>
        </is>
      </c>
      <c r="B249" t="inlineStr">
        <is>
          <t>Utilities</t>
        </is>
      </c>
      <c r="C249" t="inlineStr">
        <is>
          <t>Electricity (AC, blowdryers, lighting)</t>
        </is>
      </c>
      <c r="D249" t="n">
        <v>312</v>
      </c>
      <c r="E249" t="inlineStr">
        <is>
          <t>Local electric power utility commercial tariff estimates</t>
        </is>
      </c>
    </row>
    <row r="250">
      <c r="A250" t="inlineStr">
        <is>
          <t>Busan</t>
        </is>
      </c>
      <c r="B250" t="inlineStr">
        <is>
          <t>Utilities</t>
        </is>
      </c>
      <c r="C250" t="inlineStr">
        <is>
          <t>Water &amp; Filtration Replacement Filters</t>
        </is>
      </c>
      <c r="D250" t="n">
        <v>208</v>
      </c>
      <c r="E250" t="inlineStr">
        <is>
          <t>Local water utility charges and recurring demineralizer filters cost</t>
        </is>
      </c>
    </row>
    <row r="251">
      <c r="A251" t="inlineStr">
        <is>
          <t>Busan</t>
        </is>
      </c>
      <c r="B251" t="inlineStr">
        <is>
          <t>Marketing &amp; Misc</t>
        </is>
      </c>
      <c r="C251" t="inlineStr">
        <is>
          <t>Localized Social Media Advertising (Meta, IG)</t>
        </is>
      </c>
      <c r="D251" t="n">
        <v>582</v>
      </c>
      <c r="E251" t="inlineStr">
        <is>
          <t>Local Facebook &amp; Instagram targeted advertising agency packages</t>
        </is>
      </c>
    </row>
    <row r="252">
      <c r="A252" t="inlineStr">
        <is>
          <t>Busan</t>
        </is>
      </c>
      <c r="B252" t="inlineStr">
        <is>
          <t>Marketing &amp; Misc</t>
        </is>
      </c>
      <c r="C252" t="inlineStr">
        <is>
          <t>PR, Influencer (KOL) Invites &amp; Print Material</t>
        </is>
      </c>
      <c r="D252" t="n">
        <v>388</v>
      </c>
      <c r="E252" t="inlineStr">
        <is>
          <t>Launch month promotion campaign and graphic design print materials</t>
        </is>
      </c>
    </row>
    <row r="253">
      <c r="A253" t="inlineStr">
        <is>
          <t>Busan</t>
        </is>
      </c>
      <c r="B253" t="inlineStr">
        <is>
          <t>Admin &amp; SW</t>
        </is>
      </c>
      <c r="C253" t="inlineStr">
        <is>
          <t>Salon Booking Software &amp; POS SaaS Subscription</t>
        </is>
      </c>
      <c r="D253" t="n">
        <v>120</v>
      </c>
      <c r="E253" t="inlineStr">
        <is>
          <t>Phorest POS software monthly subscription charges for 4-5 stations</t>
        </is>
      </c>
    </row>
    <row r="254">
      <c r="A254" t="inlineStr">
        <is>
          <t>Busan</t>
        </is>
      </c>
      <c r="B254" t="inlineStr">
        <is>
          <t>Admin &amp; SW</t>
        </is>
      </c>
      <c r="C254" t="inlineStr">
        <is>
          <t>Commercial Insurance, Bookkeeping &amp; Compliance</t>
        </is>
      </c>
      <c r="D254" t="n">
        <v>180</v>
      </c>
      <c r="E254" t="inlineStr">
        <is>
          <t>Local business insurance quote &amp; independent accountant retainer</t>
        </is>
      </c>
    </row>
    <row r="255">
      <c r="A255" t="inlineStr">
        <is>
          <t>Sydney</t>
        </is>
      </c>
      <c r="B255" t="inlineStr">
        <is>
          <t>Rent</t>
        </is>
      </c>
      <c r="C255" t="inlineStr">
        <is>
          <t>Base Commercial Rent (inc. service charges)</t>
        </is>
      </c>
      <c r="D255" t="n">
        <v>3200</v>
      </c>
      <c r="E255" t="inlineStr">
        <is>
          <t>Estimated prime retail rental rates for recommended locations</t>
        </is>
      </c>
    </row>
    <row r="256">
      <c r="A256" t="inlineStr">
        <is>
          <t>Sydney</t>
        </is>
      </c>
      <c r="B256" t="inlineStr">
        <is>
          <t>Staff Cost</t>
        </is>
      </c>
      <c r="C256" t="inlineStr">
        <is>
          <t>Senior Hair Stylist Salary (2 headcount)</t>
        </is>
      </c>
      <c r="D256" t="n">
        <v>8450</v>
      </c>
      <c r="E256" t="inlineStr">
        <is>
          <t>National Hairdresser Salary Survey for Senior Stylists (Base of $4225.0/mo)</t>
        </is>
      </c>
    </row>
    <row r="257">
      <c r="A257" t="inlineStr">
        <is>
          <t>Sydney</t>
        </is>
      </c>
      <c r="B257" t="inlineStr">
        <is>
          <t>Staff Cost</t>
        </is>
      </c>
      <c r="C257" t="inlineStr">
        <is>
          <t>Junior Hair Stylist Salary (2 headcount)</t>
        </is>
      </c>
      <c r="D257" t="n">
        <v>5600</v>
      </c>
      <c r="E257" t="inlineStr">
        <is>
          <t>National Hairdresser Salary Survey for Junior Stylists (Base of $2800.0/mo)</t>
        </is>
      </c>
    </row>
    <row r="258">
      <c r="A258" t="inlineStr">
        <is>
          <t>Sydney</t>
        </is>
      </c>
      <c r="B258" t="inlineStr">
        <is>
          <t>Staff Cost</t>
        </is>
      </c>
      <c r="C258" t="inlineStr">
        <is>
          <t>Stylist Assistants / Techs (2 headcount)</t>
        </is>
      </c>
      <c r="D258" t="n">
        <v>4940</v>
      </c>
      <c r="E258" t="inlineStr">
        <is>
          <t>National Hairdresser Salary Survey for Assistants (Base of $2470.0/mo)</t>
        </is>
      </c>
    </row>
    <row r="259">
      <c r="A259" t="inlineStr">
        <is>
          <t>Sydney</t>
        </is>
      </c>
      <c r="B259" t="inlineStr">
        <is>
          <t>Staff Cost</t>
        </is>
      </c>
      <c r="C259" t="inlineStr">
        <is>
          <t>Salon Manager / Receptionist Salary (1 headcount)</t>
        </is>
      </c>
      <c r="D259" t="n">
        <v>4550</v>
      </c>
      <c r="E259" t="inlineStr">
        <is>
          <t>National Salary Survey for Salon Managers (Base of $4550.0/mo)</t>
        </is>
      </c>
    </row>
    <row r="260">
      <c r="A260" t="inlineStr">
        <is>
          <t>Sydney</t>
        </is>
      </c>
      <c r="B260" t="inlineStr">
        <is>
          <t>Utilities</t>
        </is>
      </c>
      <c r="C260" t="inlineStr">
        <is>
          <t>Electricity (AC, blowdryers, lighting)</t>
        </is>
      </c>
      <c r="D260" t="n">
        <v>312</v>
      </c>
      <c r="E260" t="inlineStr">
        <is>
          <t>Local electric power utility commercial tariff estimates</t>
        </is>
      </c>
    </row>
    <row r="261">
      <c r="A261" t="inlineStr">
        <is>
          <t>Sydney</t>
        </is>
      </c>
      <c r="B261" t="inlineStr">
        <is>
          <t>Utilities</t>
        </is>
      </c>
      <c r="C261" t="inlineStr">
        <is>
          <t>Water &amp; Filtration Replacement Filters</t>
        </is>
      </c>
      <c r="D261" t="n">
        <v>208</v>
      </c>
      <c r="E261" t="inlineStr">
        <is>
          <t>Local water utility charges and recurring demineralizer filters cost</t>
        </is>
      </c>
    </row>
    <row r="262">
      <c r="A262" t="inlineStr">
        <is>
          <t>Sydney</t>
        </is>
      </c>
      <c r="B262" t="inlineStr">
        <is>
          <t>Marketing &amp; Misc</t>
        </is>
      </c>
      <c r="C262" t="inlineStr">
        <is>
          <t>Localized Social Media Advertising (Meta, IG)</t>
        </is>
      </c>
      <c r="D262" t="n">
        <v>582</v>
      </c>
      <c r="E262" t="inlineStr">
        <is>
          <t>Local Facebook &amp; Instagram targeted advertising agency packages</t>
        </is>
      </c>
    </row>
    <row r="263">
      <c r="A263" t="inlineStr">
        <is>
          <t>Sydney</t>
        </is>
      </c>
      <c r="B263" t="inlineStr">
        <is>
          <t>Marketing &amp; Misc</t>
        </is>
      </c>
      <c r="C263" t="inlineStr">
        <is>
          <t>PR, Influencer (KOL) Invites &amp; Print Material</t>
        </is>
      </c>
      <c r="D263" t="n">
        <v>388</v>
      </c>
      <c r="E263" t="inlineStr">
        <is>
          <t>Launch month promotion campaign and graphic design print materials</t>
        </is>
      </c>
    </row>
    <row r="264">
      <c r="A264" t="inlineStr">
        <is>
          <t>Sydney</t>
        </is>
      </c>
      <c r="B264" t="inlineStr">
        <is>
          <t>Admin &amp; SW</t>
        </is>
      </c>
      <c r="C264" t="inlineStr">
        <is>
          <t>Salon Booking Software &amp; POS SaaS Subscription</t>
        </is>
      </c>
      <c r="D264" t="n">
        <v>120</v>
      </c>
      <c r="E264" t="inlineStr">
        <is>
          <t>Phorest POS software monthly subscription charges for 4-5 stations</t>
        </is>
      </c>
    </row>
    <row r="265">
      <c r="A265" t="inlineStr">
        <is>
          <t>Sydney</t>
        </is>
      </c>
      <c r="B265" t="inlineStr">
        <is>
          <t>Admin &amp; SW</t>
        </is>
      </c>
      <c r="C265" t="inlineStr">
        <is>
          <t>Commercial Insurance, Bookkeeping &amp; Compliance</t>
        </is>
      </c>
      <c r="D265" t="n">
        <v>180</v>
      </c>
      <c r="E265" t="inlineStr">
        <is>
          <t>Local business insurance quote &amp; independent accountant retainer</t>
        </is>
      </c>
    </row>
    <row r="266">
      <c r="A266" t="inlineStr">
        <is>
          <t>Melbourne</t>
        </is>
      </c>
      <c r="B266" t="inlineStr">
        <is>
          <t>Rent</t>
        </is>
      </c>
      <c r="C266" t="inlineStr">
        <is>
          <t>Base Commercial Rent (inc. service charges)</t>
        </is>
      </c>
      <c r="D266" t="n">
        <v>3500</v>
      </c>
      <c r="E266" t="inlineStr">
        <is>
          <t>Estimated prime retail rental rates for recommended locations</t>
        </is>
      </c>
    </row>
    <row r="267">
      <c r="A267" t="inlineStr">
        <is>
          <t>Melbourne</t>
        </is>
      </c>
      <c r="B267" t="inlineStr">
        <is>
          <t>Staff Cost</t>
        </is>
      </c>
      <c r="C267" t="inlineStr">
        <is>
          <t>Senior Hair Stylist Salary (2 headcount)</t>
        </is>
      </c>
      <c r="D267" t="n">
        <v>8450</v>
      </c>
      <c r="E267" t="inlineStr">
        <is>
          <t>National Hairdresser Salary Survey for Senior Stylists (Base of $4225.0/mo)</t>
        </is>
      </c>
    </row>
    <row r="268">
      <c r="A268" t="inlineStr">
        <is>
          <t>Melbourne</t>
        </is>
      </c>
      <c r="B268" t="inlineStr">
        <is>
          <t>Staff Cost</t>
        </is>
      </c>
      <c r="C268" t="inlineStr">
        <is>
          <t>Junior Hair Stylist Salary (2 headcount)</t>
        </is>
      </c>
      <c r="D268" t="n">
        <v>5600</v>
      </c>
      <c r="E268" t="inlineStr">
        <is>
          <t>National Hairdresser Salary Survey for Junior Stylists (Base of $2800.0/mo)</t>
        </is>
      </c>
    </row>
    <row r="269">
      <c r="A269" t="inlineStr">
        <is>
          <t>Melbourne</t>
        </is>
      </c>
      <c r="B269" t="inlineStr">
        <is>
          <t>Staff Cost</t>
        </is>
      </c>
      <c r="C269" t="inlineStr">
        <is>
          <t>Stylist Assistants / Techs (2 headcount)</t>
        </is>
      </c>
      <c r="D269" t="n">
        <v>4940</v>
      </c>
      <c r="E269" t="inlineStr">
        <is>
          <t>National Hairdresser Salary Survey for Assistants (Base of $2470.0/mo)</t>
        </is>
      </c>
    </row>
    <row r="270">
      <c r="A270" t="inlineStr">
        <is>
          <t>Melbourne</t>
        </is>
      </c>
      <c r="B270" t="inlineStr">
        <is>
          <t>Staff Cost</t>
        </is>
      </c>
      <c r="C270" t="inlineStr">
        <is>
          <t>Salon Manager / Receptionist Salary (1 headcount)</t>
        </is>
      </c>
      <c r="D270" t="n">
        <v>4550</v>
      </c>
      <c r="E270" t="inlineStr">
        <is>
          <t>National Salary Survey for Salon Managers (Base of $4550.0/mo)</t>
        </is>
      </c>
    </row>
    <row r="271">
      <c r="A271" t="inlineStr">
        <is>
          <t>Melbourne</t>
        </is>
      </c>
      <c r="B271" t="inlineStr">
        <is>
          <t>Utilities</t>
        </is>
      </c>
      <c r="C271" t="inlineStr">
        <is>
          <t>Electricity (AC, blowdryers, lighting)</t>
        </is>
      </c>
      <c r="D271" t="n">
        <v>312</v>
      </c>
      <c r="E271" t="inlineStr">
        <is>
          <t>Local electric power utility commercial tariff estimates</t>
        </is>
      </c>
    </row>
    <row r="272">
      <c r="A272" t="inlineStr">
        <is>
          <t>Melbourne</t>
        </is>
      </c>
      <c r="B272" t="inlineStr">
        <is>
          <t>Utilities</t>
        </is>
      </c>
      <c r="C272" t="inlineStr">
        <is>
          <t>Water &amp; Filtration Replacement Filters</t>
        </is>
      </c>
      <c r="D272" t="n">
        <v>208</v>
      </c>
      <c r="E272" t="inlineStr">
        <is>
          <t>Local water utility charges and recurring demineralizer filters cost</t>
        </is>
      </c>
    </row>
    <row r="273">
      <c r="A273" t="inlineStr">
        <is>
          <t>Melbourne</t>
        </is>
      </c>
      <c r="B273" t="inlineStr">
        <is>
          <t>Marketing &amp; Misc</t>
        </is>
      </c>
      <c r="C273" t="inlineStr">
        <is>
          <t>Localized Social Media Advertising (Meta, IG)</t>
        </is>
      </c>
      <c r="D273" t="n">
        <v>582</v>
      </c>
      <c r="E273" t="inlineStr">
        <is>
          <t>Local Facebook &amp; Instagram targeted advertising agency packages</t>
        </is>
      </c>
    </row>
    <row r="274">
      <c r="A274" t="inlineStr">
        <is>
          <t>Melbourne</t>
        </is>
      </c>
      <c r="B274" t="inlineStr">
        <is>
          <t>Marketing &amp; Misc</t>
        </is>
      </c>
      <c r="C274" t="inlineStr">
        <is>
          <t>PR, Influencer (KOL) Invites &amp; Print Material</t>
        </is>
      </c>
      <c r="D274" t="n">
        <v>388</v>
      </c>
      <c r="E274" t="inlineStr">
        <is>
          <t>Launch month promotion campaign and graphic design print materials</t>
        </is>
      </c>
    </row>
    <row r="275">
      <c r="A275" t="inlineStr">
        <is>
          <t>Melbourne</t>
        </is>
      </c>
      <c r="B275" t="inlineStr">
        <is>
          <t>Admin &amp; SW</t>
        </is>
      </c>
      <c r="C275" t="inlineStr">
        <is>
          <t>Salon Booking Software &amp; POS SaaS Subscription</t>
        </is>
      </c>
      <c r="D275" t="n">
        <v>120</v>
      </c>
      <c r="E275" t="inlineStr">
        <is>
          <t>Phorest POS software monthly subscription charges for 4-5 stations</t>
        </is>
      </c>
    </row>
    <row r="276">
      <c r="A276" t="inlineStr">
        <is>
          <t>Melbourne</t>
        </is>
      </c>
      <c r="B276" t="inlineStr">
        <is>
          <t>Admin &amp; SW</t>
        </is>
      </c>
      <c r="C276" t="inlineStr">
        <is>
          <t>Commercial Insurance, Bookkeeping &amp; Compliance</t>
        </is>
      </c>
      <c r="D276" t="n">
        <v>180</v>
      </c>
      <c r="E276" t="inlineStr">
        <is>
          <t>Local business insurance quote &amp; independent accountant retainer</t>
        </is>
      </c>
    </row>
    <row r="277">
      <c r="A277" t="inlineStr">
        <is>
          <t>Brisbane</t>
        </is>
      </c>
      <c r="B277" t="inlineStr">
        <is>
          <t>Rent</t>
        </is>
      </c>
      <c r="C277" t="inlineStr">
        <is>
          <t>Base Commercial Rent (inc. service charges)</t>
        </is>
      </c>
      <c r="D277" t="n">
        <v>2800</v>
      </c>
      <c r="E277" t="inlineStr">
        <is>
          <t>Estimated prime retail rental rates for recommended locations</t>
        </is>
      </c>
    </row>
    <row r="278">
      <c r="A278" t="inlineStr">
        <is>
          <t>Brisbane</t>
        </is>
      </c>
      <c r="B278" t="inlineStr">
        <is>
          <t>Staff Cost</t>
        </is>
      </c>
      <c r="C278" t="inlineStr">
        <is>
          <t>Senior Hair Stylist Salary (2 headcount)</t>
        </is>
      </c>
      <c r="D278" t="n">
        <v>8450</v>
      </c>
      <c r="E278" t="inlineStr">
        <is>
          <t>National Hairdresser Salary Survey for Senior Stylists (Base of $4225.0/mo)</t>
        </is>
      </c>
    </row>
    <row r="279">
      <c r="A279" t="inlineStr">
        <is>
          <t>Brisbane</t>
        </is>
      </c>
      <c r="B279" t="inlineStr">
        <is>
          <t>Staff Cost</t>
        </is>
      </c>
      <c r="C279" t="inlineStr">
        <is>
          <t>Junior Hair Stylist Salary (2 headcount)</t>
        </is>
      </c>
      <c r="D279" t="n">
        <v>5600</v>
      </c>
      <c r="E279" t="inlineStr">
        <is>
          <t>National Hairdresser Salary Survey for Junior Stylists (Base of $2800.0/mo)</t>
        </is>
      </c>
    </row>
    <row r="280">
      <c r="A280" t="inlineStr">
        <is>
          <t>Brisbane</t>
        </is>
      </c>
      <c r="B280" t="inlineStr">
        <is>
          <t>Staff Cost</t>
        </is>
      </c>
      <c r="C280" t="inlineStr">
        <is>
          <t>Stylist Assistants / Techs (2 headcount)</t>
        </is>
      </c>
      <c r="D280" t="n">
        <v>4940</v>
      </c>
      <c r="E280" t="inlineStr">
        <is>
          <t>National Hairdresser Salary Survey for Assistants (Base of $2470.0/mo)</t>
        </is>
      </c>
    </row>
    <row r="281">
      <c r="A281" t="inlineStr">
        <is>
          <t>Brisbane</t>
        </is>
      </c>
      <c r="B281" t="inlineStr">
        <is>
          <t>Staff Cost</t>
        </is>
      </c>
      <c r="C281" t="inlineStr">
        <is>
          <t>Salon Manager / Receptionist Salary (1 headcount)</t>
        </is>
      </c>
      <c r="D281" t="n">
        <v>4550</v>
      </c>
      <c r="E281" t="inlineStr">
        <is>
          <t>National Salary Survey for Salon Managers (Base of $4550.0/mo)</t>
        </is>
      </c>
    </row>
    <row r="282">
      <c r="A282" t="inlineStr">
        <is>
          <t>Brisbane</t>
        </is>
      </c>
      <c r="B282" t="inlineStr">
        <is>
          <t>Utilities</t>
        </is>
      </c>
      <c r="C282" t="inlineStr">
        <is>
          <t>Electricity (AC, blowdryers, lighting)</t>
        </is>
      </c>
      <c r="D282" t="n">
        <v>312</v>
      </c>
      <c r="E282" t="inlineStr">
        <is>
          <t>Local electric power utility commercial tariff estimates</t>
        </is>
      </c>
    </row>
    <row r="283">
      <c r="A283" t="inlineStr">
        <is>
          <t>Brisbane</t>
        </is>
      </c>
      <c r="B283" t="inlineStr">
        <is>
          <t>Utilities</t>
        </is>
      </c>
      <c r="C283" t="inlineStr">
        <is>
          <t>Water &amp; Filtration Replacement Filters</t>
        </is>
      </c>
      <c r="D283" t="n">
        <v>208</v>
      </c>
      <c r="E283" t="inlineStr">
        <is>
          <t>Local water utility charges and recurring demineralizer filters cost</t>
        </is>
      </c>
    </row>
    <row r="284">
      <c r="A284" t="inlineStr">
        <is>
          <t>Brisbane</t>
        </is>
      </c>
      <c r="B284" t="inlineStr">
        <is>
          <t>Marketing &amp; Misc</t>
        </is>
      </c>
      <c r="C284" t="inlineStr">
        <is>
          <t>Localized Social Media Advertising (Meta, IG)</t>
        </is>
      </c>
      <c r="D284" t="n">
        <v>582</v>
      </c>
      <c r="E284" t="inlineStr">
        <is>
          <t>Local Facebook &amp; Instagram targeted advertising agency packages</t>
        </is>
      </c>
    </row>
    <row r="285">
      <c r="A285" t="inlineStr">
        <is>
          <t>Brisbane</t>
        </is>
      </c>
      <c r="B285" t="inlineStr">
        <is>
          <t>Marketing &amp; Misc</t>
        </is>
      </c>
      <c r="C285" t="inlineStr">
        <is>
          <t>PR, Influencer (KOL) Invites &amp; Print Material</t>
        </is>
      </c>
      <c r="D285" t="n">
        <v>388</v>
      </c>
      <c r="E285" t="inlineStr">
        <is>
          <t>Launch month promotion campaign and graphic design print materials</t>
        </is>
      </c>
    </row>
    <row r="286">
      <c r="A286" t="inlineStr">
        <is>
          <t>Brisbane</t>
        </is>
      </c>
      <c r="B286" t="inlineStr">
        <is>
          <t>Admin &amp; SW</t>
        </is>
      </c>
      <c r="C286" t="inlineStr">
        <is>
          <t>Salon Booking Software &amp; POS SaaS Subscription</t>
        </is>
      </c>
      <c r="D286" t="n">
        <v>120</v>
      </c>
      <c r="E286" t="inlineStr">
        <is>
          <t>Phorest POS software monthly subscription charges for 4-5 stations</t>
        </is>
      </c>
    </row>
    <row r="287">
      <c r="A287" t="inlineStr">
        <is>
          <t>Brisbane</t>
        </is>
      </c>
      <c r="B287" t="inlineStr">
        <is>
          <t>Admin &amp; SW</t>
        </is>
      </c>
      <c r="C287" t="inlineStr">
        <is>
          <t>Commercial Insurance, Bookkeeping &amp; Compliance</t>
        </is>
      </c>
      <c r="D287" t="n">
        <v>180</v>
      </c>
      <c r="E287" t="inlineStr">
        <is>
          <t>Local business insurance quote &amp; independent accountant retainer</t>
        </is>
      </c>
    </row>
    <row r="288">
      <c r="A288" t="inlineStr">
        <is>
          <t>Perth</t>
        </is>
      </c>
      <c r="B288" t="inlineStr">
        <is>
          <t>Rent</t>
        </is>
      </c>
      <c r="C288" t="inlineStr">
        <is>
          <t>Base Commercial Rent (inc. service charges)</t>
        </is>
      </c>
      <c r="D288" t="n">
        <v>2000</v>
      </c>
      <c r="E288" t="inlineStr">
        <is>
          <t>Estimated prime retail rental rates for recommended locations</t>
        </is>
      </c>
    </row>
    <row r="289">
      <c r="A289" t="inlineStr">
        <is>
          <t>Perth</t>
        </is>
      </c>
      <c r="B289" t="inlineStr">
        <is>
          <t>Staff Cost</t>
        </is>
      </c>
      <c r="C289" t="inlineStr">
        <is>
          <t>Senior Hair Stylist Salary (2 headcount)</t>
        </is>
      </c>
      <c r="D289" t="n">
        <v>8450</v>
      </c>
      <c r="E289" t="inlineStr">
        <is>
          <t>National Hairdresser Salary Survey for Senior Stylists (Base of $4225.0/mo)</t>
        </is>
      </c>
    </row>
    <row r="290">
      <c r="A290" t="inlineStr">
        <is>
          <t>Perth</t>
        </is>
      </c>
      <c r="B290" t="inlineStr">
        <is>
          <t>Staff Cost</t>
        </is>
      </c>
      <c r="C290" t="inlineStr">
        <is>
          <t>Junior Hair Stylist Salary (2 headcount)</t>
        </is>
      </c>
      <c r="D290" t="n">
        <v>5600</v>
      </c>
      <c r="E290" t="inlineStr">
        <is>
          <t>National Hairdresser Salary Survey for Junior Stylists (Base of $2800.0/mo)</t>
        </is>
      </c>
    </row>
    <row r="291">
      <c r="A291" t="inlineStr">
        <is>
          <t>Perth</t>
        </is>
      </c>
      <c r="B291" t="inlineStr">
        <is>
          <t>Staff Cost</t>
        </is>
      </c>
      <c r="C291" t="inlineStr">
        <is>
          <t>Stylist Assistants / Techs (2 headcount)</t>
        </is>
      </c>
      <c r="D291" t="n">
        <v>4940</v>
      </c>
      <c r="E291" t="inlineStr">
        <is>
          <t>National Hairdresser Salary Survey for Assistants (Base of $2470.0/mo)</t>
        </is>
      </c>
    </row>
    <row r="292">
      <c r="A292" t="inlineStr">
        <is>
          <t>Perth</t>
        </is>
      </c>
      <c r="B292" t="inlineStr">
        <is>
          <t>Staff Cost</t>
        </is>
      </c>
      <c r="C292" t="inlineStr">
        <is>
          <t>Salon Manager / Receptionist Salary (1 headcount)</t>
        </is>
      </c>
      <c r="D292" t="n">
        <v>4550</v>
      </c>
      <c r="E292" t="inlineStr">
        <is>
          <t>National Salary Survey for Salon Managers (Base of $4550.0/mo)</t>
        </is>
      </c>
    </row>
    <row r="293">
      <c r="A293" t="inlineStr">
        <is>
          <t>Perth</t>
        </is>
      </c>
      <c r="B293" t="inlineStr">
        <is>
          <t>Utilities</t>
        </is>
      </c>
      <c r="C293" t="inlineStr">
        <is>
          <t>Electricity (AC, blowdryers, lighting)</t>
        </is>
      </c>
      <c r="D293" t="n">
        <v>312</v>
      </c>
      <c r="E293" t="inlineStr">
        <is>
          <t>Local electric power utility commercial tariff estimates</t>
        </is>
      </c>
    </row>
    <row r="294">
      <c r="A294" t="inlineStr">
        <is>
          <t>Perth</t>
        </is>
      </c>
      <c r="B294" t="inlineStr">
        <is>
          <t>Utilities</t>
        </is>
      </c>
      <c r="C294" t="inlineStr">
        <is>
          <t>Water &amp; Filtration Replacement Filters</t>
        </is>
      </c>
      <c r="D294" t="n">
        <v>208</v>
      </c>
      <c r="E294" t="inlineStr">
        <is>
          <t>Local water utility charges and recurring demineralizer filters cost</t>
        </is>
      </c>
    </row>
    <row r="295">
      <c r="A295" t="inlineStr">
        <is>
          <t>Perth</t>
        </is>
      </c>
      <c r="B295" t="inlineStr">
        <is>
          <t>Marketing &amp; Misc</t>
        </is>
      </c>
      <c r="C295" t="inlineStr">
        <is>
          <t>Localized Social Media Advertising (Meta, IG)</t>
        </is>
      </c>
      <c r="D295" t="n">
        <v>582</v>
      </c>
      <c r="E295" t="inlineStr">
        <is>
          <t>Local Facebook &amp; Instagram targeted advertising agency packages</t>
        </is>
      </c>
    </row>
    <row r="296">
      <c r="A296" t="inlineStr">
        <is>
          <t>Perth</t>
        </is>
      </c>
      <c r="B296" t="inlineStr">
        <is>
          <t>Marketing &amp; Misc</t>
        </is>
      </c>
      <c r="C296" t="inlineStr">
        <is>
          <t>PR, Influencer (KOL) Invites &amp; Print Material</t>
        </is>
      </c>
      <c r="D296" t="n">
        <v>388</v>
      </c>
      <c r="E296" t="inlineStr">
        <is>
          <t>Launch month promotion campaign and graphic design print materials</t>
        </is>
      </c>
    </row>
    <row r="297">
      <c r="A297" t="inlineStr">
        <is>
          <t>Perth</t>
        </is>
      </c>
      <c r="B297" t="inlineStr">
        <is>
          <t>Admin &amp; SW</t>
        </is>
      </c>
      <c r="C297" t="inlineStr">
        <is>
          <t>Salon Booking Software &amp; POS SaaS Subscription</t>
        </is>
      </c>
      <c r="D297" t="n">
        <v>120</v>
      </c>
      <c r="E297" t="inlineStr">
        <is>
          <t>Phorest POS software monthly subscription charges for 4-5 stations</t>
        </is>
      </c>
    </row>
    <row r="298">
      <c r="A298" t="inlineStr">
        <is>
          <t>Perth</t>
        </is>
      </c>
      <c r="B298" t="inlineStr">
        <is>
          <t>Admin &amp; SW</t>
        </is>
      </c>
      <c r="C298" t="inlineStr">
        <is>
          <t>Commercial Insurance, Bookkeeping &amp; Compliance</t>
        </is>
      </c>
      <c r="D298" t="n">
        <v>180</v>
      </c>
      <c r="E298" t="inlineStr">
        <is>
          <t>Local business insurance quote &amp; independent accountant retainer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2026-05-23T19:16:30Z</dcterms:created>
  <dcterms:modified xmlns:dcterms="http://purl.org/dc/terms/" xmlns:xsi="http://www.w3.org/2001/XMLSchema-instance" xsi:type="dcterms:W3CDTF">2026-05-24T06:33:56Z</dcterms:modified>
</cp:coreProperties>
</file>